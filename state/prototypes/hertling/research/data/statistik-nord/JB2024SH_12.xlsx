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1.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2.xml" ContentType="application/vnd.openxmlformats-officedocument.drawingml.chartshapes+xml"/>
  <Override PartName="/xl/drawings/drawing1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DieseArbeitsmappe" autoCompressPictures="0"/>
  <mc:AlternateContent xmlns:mc="http://schemas.openxmlformats.org/markup-compatibility/2006">
    <mc:Choice Requires="x15">
      <x15ac:absPath xmlns:x15ac="http://schemas.microsoft.com/office/spreadsheetml/2010/11/ac" url="N:\Arbeitsbereiche\AB-5\AB-540\Jahrbücher\Jahrbücher zur Freigabe\SH\"/>
    </mc:Choice>
  </mc:AlternateContent>
  <xr:revisionPtr revIDLastSave="0" documentId="13_ncr:1_{C2721D4C-C60E-4BA8-8540-989FAC7AD9A0}" xr6:coauthVersionLast="47" xr6:coauthVersionMax="47" xr10:uidLastSave="{00000000-0000-0000-0000-000000000000}"/>
  <bookViews>
    <workbookView xWindow="-23148" yWindow="-108" windowWidth="23256" windowHeight="12456" tabRatio="727" xr2:uid="{00000000-000D-0000-FFFF-FFFF00000000}"/>
  </bookViews>
  <sheets>
    <sheet name="Deckblatt" sheetId="110" r:id="rId1"/>
    <sheet name="Impressum | Zeichenerklärungen" sheetId="52" r:id="rId2"/>
    <sheet name="Erläuterungen" sheetId="53" r:id="rId3"/>
    <sheet name="Inhaltsverzeichnis" sheetId="54" r:id="rId4"/>
    <sheet name="12.1" sheetId="98" r:id="rId5"/>
    <sheet name="12.2" sheetId="99" r:id="rId6"/>
    <sheet name="Grafik 1" sheetId="100" r:id="rId7"/>
    <sheet name="Grafik 2" sheetId="101" r:id="rId8"/>
    <sheet name="12.3" sheetId="103" r:id="rId9"/>
    <sheet name="12.4" sheetId="104" r:id="rId10"/>
    <sheet name="12.5" sheetId="105" r:id="rId11"/>
    <sheet name="12.6" sheetId="106" r:id="rId12"/>
    <sheet name="12.7" sheetId="107" r:id="rId13"/>
    <sheet name="12.8" sheetId="111" r:id="rId14"/>
    <sheet name="12.9" sheetId="112" r:id="rId15"/>
    <sheet name="12.10" sheetId="113" r:id="rId16"/>
    <sheet name="12.11" sheetId="114" r:id="rId17"/>
    <sheet name="Grafik 3" sheetId="115" r:id="rId18"/>
    <sheet name="12.12" sheetId="116" r:id="rId19"/>
    <sheet name="12.13" sheetId="117" r:id="rId20"/>
    <sheet name="12.14" sheetId="118" r:id="rId21"/>
    <sheet name="Grafik 4" sheetId="119" r:id="rId22"/>
    <sheet name="12.15" sheetId="120" r:id="rId23"/>
    <sheet name="12.16" sheetId="121" r:id="rId24"/>
    <sheet name="12.17" sheetId="122" r:id="rId25"/>
    <sheet name="12.18" sheetId="123" r:id="rId26"/>
    <sheet name="12.19" sheetId="124" r:id="rId27"/>
  </sheets>
  <definedNames>
    <definedName name="OLE_LINK1" localSheetId="0">Deckblatt!$A$1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7" i="119" l="1"/>
  <c r="D5" i="119"/>
  <c r="D56" i="115"/>
  <c r="D5" i="115"/>
  <c r="CT88" i="113"/>
  <c r="CR88" i="113"/>
  <c r="CN88" i="113"/>
  <c r="CL88" i="113"/>
  <c r="CH88" i="113"/>
  <c r="CF88" i="113"/>
  <c r="CB88" i="113"/>
  <c r="BZ88" i="113"/>
  <c r="BV88" i="113"/>
  <c r="BT88" i="113"/>
  <c r="BP88" i="113"/>
  <c r="BN88" i="113"/>
  <c r="BJ88" i="113"/>
  <c r="BH88" i="113"/>
  <c r="BD88" i="113"/>
  <c r="BB88" i="113"/>
  <c r="AX88" i="113"/>
  <c r="AV88" i="113"/>
  <c r="AR88" i="113"/>
  <c r="AP88" i="113"/>
  <c r="AL88" i="113"/>
  <c r="AJ88" i="113"/>
  <c r="AF88" i="113"/>
  <c r="AD88" i="113"/>
  <c r="Z88" i="113"/>
  <c r="X88" i="113"/>
  <c r="T88" i="113"/>
  <c r="R88" i="113"/>
  <c r="N88" i="113"/>
  <c r="L88" i="113"/>
  <c r="H88" i="113"/>
  <c r="F88" i="113"/>
  <c r="CT87" i="113"/>
  <c r="CR87" i="113"/>
  <c r="CN87" i="113"/>
  <c r="CL87" i="113"/>
  <c r="CH87" i="113"/>
  <c r="CF87" i="113"/>
  <c r="CB87" i="113"/>
  <c r="BZ87" i="113"/>
  <c r="BV87" i="113"/>
  <c r="BT87" i="113"/>
  <c r="BP87" i="113"/>
  <c r="BN87" i="113"/>
  <c r="BJ87" i="113"/>
  <c r="BH87" i="113"/>
  <c r="BD87" i="113"/>
  <c r="BB87" i="113"/>
  <c r="AX87" i="113"/>
  <c r="AV87" i="113"/>
  <c r="AR87" i="113"/>
  <c r="AP87" i="113"/>
  <c r="AL87" i="113"/>
  <c r="AJ87" i="113"/>
  <c r="AF87" i="113"/>
  <c r="AD87" i="113"/>
  <c r="Z87" i="113"/>
  <c r="X87" i="113"/>
  <c r="T87" i="113"/>
  <c r="R87" i="113"/>
  <c r="N87" i="113"/>
  <c r="L87" i="113"/>
  <c r="H87" i="113"/>
  <c r="F87" i="113"/>
  <c r="CT86" i="113"/>
  <c r="CR86" i="113"/>
  <c r="CN86" i="113"/>
  <c r="CL86" i="113"/>
  <c r="CH86" i="113"/>
  <c r="CF86" i="113"/>
  <c r="CB86" i="113"/>
  <c r="BZ86" i="113"/>
  <c r="BV86" i="113"/>
  <c r="BT86" i="113"/>
  <c r="BP86" i="113"/>
  <c r="BN86" i="113"/>
  <c r="BJ86" i="113"/>
  <c r="BH86" i="113"/>
  <c r="BD86" i="113"/>
  <c r="BB86" i="113"/>
  <c r="AX86" i="113"/>
  <c r="AV86" i="113"/>
  <c r="AR86" i="113"/>
  <c r="AP86" i="113"/>
  <c r="AL86" i="113"/>
  <c r="AJ86" i="113"/>
  <c r="AF86" i="113"/>
  <c r="AD86" i="113"/>
  <c r="Z86" i="113"/>
  <c r="X86" i="113"/>
  <c r="T86" i="113"/>
  <c r="R86" i="113"/>
  <c r="N86" i="113"/>
  <c r="L86" i="113"/>
  <c r="H86" i="113"/>
  <c r="F86" i="113"/>
  <c r="CT85" i="113"/>
  <c r="CR85" i="113"/>
  <c r="CN85" i="113"/>
  <c r="CL85" i="113"/>
  <c r="CH85" i="113"/>
  <c r="CF85" i="113"/>
  <c r="CB85" i="113"/>
  <c r="BZ85" i="113"/>
  <c r="BV85" i="113"/>
  <c r="BT85" i="113"/>
  <c r="BP85" i="113"/>
  <c r="BN85" i="113"/>
  <c r="BJ85" i="113"/>
  <c r="BH85" i="113"/>
  <c r="BD85" i="113"/>
  <c r="BB85" i="113"/>
  <c r="AX85" i="113"/>
  <c r="AV85" i="113"/>
  <c r="AR85" i="113"/>
  <c r="AP85" i="113"/>
  <c r="AL85" i="113"/>
  <c r="AJ85" i="113"/>
  <c r="AF85" i="113"/>
  <c r="AD85" i="113"/>
  <c r="Z85" i="113"/>
  <c r="X85" i="113"/>
  <c r="T85" i="113"/>
  <c r="R85" i="113"/>
  <c r="N85" i="113"/>
  <c r="L85" i="113"/>
  <c r="H85" i="113"/>
  <c r="F85" i="113"/>
  <c r="CT84" i="113"/>
  <c r="CR84" i="113"/>
  <c r="CN84" i="113"/>
  <c r="CL84" i="113"/>
  <c r="CH84" i="113"/>
  <c r="CF84" i="113"/>
  <c r="CB84" i="113"/>
  <c r="BZ84" i="113"/>
  <c r="BV84" i="113"/>
  <c r="BT84" i="113"/>
  <c r="BP84" i="113"/>
  <c r="BN84" i="113"/>
  <c r="BJ84" i="113"/>
  <c r="BH84" i="113"/>
  <c r="BD84" i="113"/>
  <c r="BB84" i="113"/>
  <c r="AX84" i="113"/>
  <c r="AV84" i="113"/>
  <c r="AR84" i="113"/>
  <c r="AP84" i="113"/>
  <c r="AL84" i="113"/>
  <c r="AJ84" i="113"/>
  <c r="AF84" i="113"/>
  <c r="AD84" i="113"/>
  <c r="Z84" i="113"/>
  <c r="X84" i="113"/>
  <c r="T84" i="113"/>
  <c r="R84" i="113"/>
  <c r="N84" i="113"/>
  <c r="L84" i="113"/>
  <c r="H84" i="113"/>
  <c r="F84" i="113"/>
  <c r="CT83" i="113"/>
  <c r="CR83" i="113"/>
  <c r="CN83" i="113"/>
  <c r="CL83" i="113"/>
  <c r="CH83" i="113"/>
  <c r="CF83" i="113"/>
  <c r="CB83" i="113"/>
  <c r="BZ83" i="113"/>
  <c r="BV83" i="113"/>
  <c r="BT83" i="113"/>
  <c r="BP83" i="113"/>
  <c r="BN83" i="113"/>
  <c r="BJ83" i="113"/>
  <c r="BH83" i="113"/>
  <c r="BD83" i="113"/>
  <c r="BB83" i="113"/>
  <c r="AX83" i="113"/>
  <c r="AV83" i="113"/>
  <c r="AR83" i="113"/>
  <c r="AP83" i="113"/>
  <c r="AL83" i="113"/>
  <c r="AJ83" i="113"/>
  <c r="AF83" i="113"/>
  <c r="AD83" i="113"/>
  <c r="Z83" i="113"/>
  <c r="X83" i="113"/>
  <c r="T83" i="113"/>
  <c r="R83" i="113"/>
  <c r="N83" i="113"/>
  <c r="L83" i="113"/>
  <c r="H83" i="113"/>
  <c r="F83" i="113"/>
  <c r="CT82" i="113"/>
  <c r="CR82" i="113"/>
  <c r="CN82" i="113"/>
  <c r="CL82" i="113"/>
  <c r="CH82" i="113"/>
  <c r="CF82" i="113"/>
  <c r="CB82" i="113"/>
  <c r="BZ82" i="113"/>
  <c r="BV82" i="113"/>
  <c r="BT82" i="113"/>
  <c r="BP82" i="113"/>
  <c r="BN82" i="113"/>
  <c r="BJ82" i="113"/>
  <c r="BH82" i="113"/>
  <c r="BD82" i="113"/>
  <c r="BB82" i="113"/>
  <c r="AX82" i="113"/>
  <c r="AV82" i="113"/>
  <c r="AR82" i="113"/>
  <c r="AP82" i="113"/>
  <c r="AL82" i="113"/>
  <c r="AJ82" i="113"/>
  <c r="AF82" i="113"/>
  <c r="AD82" i="113"/>
  <c r="Z82" i="113"/>
  <c r="X82" i="113"/>
  <c r="T82" i="113"/>
  <c r="R82" i="113"/>
  <c r="N82" i="113"/>
  <c r="L82" i="113"/>
  <c r="H82" i="113"/>
  <c r="F82" i="113"/>
  <c r="CT81" i="113"/>
  <c r="CR81" i="113"/>
  <c r="CN81" i="113"/>
  <c r="CL81" i="113"/>
  <c r="CH81" i="113"/>
  <c r="CF81" i="113"/>
  <c r="CB81" i="113"/>
  <c r="BZ81" i="113"/>
  <c r="BV81" i="113"/>
  <c r="BT81" i="113"/>
  <c r="BP81" i="113"/>
  <c r="BN81" i="113"/>
  <c r="BJ81" i="113"/>
  <c r="BH81" i="113"/>
  <c r="BD81" i="113"/>
  <c r="BB81" i="113"/>
  <c r="AX81" i="113"/>
  <c r="AV81" i="113"/>
  <c r="AR81" i="113"/>
  <c r="AP81" i="113"/>
  <c r="AL81" i="113"/>
  <c r="AJ81" i="113"/>
  <c r="AF81" i="113"/>
  <c r="AD81" i="113"/>
  <c r="Z81" i="113"/>
  <c r="X81" i="113"/>
  <c r="T81" i="113"/>
  <c r="R81" i="113"/>
  <c r="N81" i="113"/>
  <c r="L81" i="113"/>
  <c r="H81" i="113"/>
  <c r="F81" i="113"/>
  <c r="CT80" i="113"/>
  <c r="CR80" i="113"/>
  <c r="CN80" i="113"/>
  <c r="CL80" i="113"/>
  <c r="CH80" i="113"/>
  <c r="CF80" i="113"/>
  <c r="CB80" i="113"/>
  <c r="BZ80" i="113"/>
  <c r="BV80" i="113"/>
  <c r="BT80" i="113"/>
  <c r="BP80" i="113"/>
  <c r="BN80" i="113"/>
  <c r="BJ80" i="113"/>
  <c r="BH80" i="113"/>
  <c r="BD80" i="113"/>
  <c r="BB80" i="113"/>
  <c r="AX80" i="113"/>
  <c r="AV80" i="113"/>
  <c r="AR80" i="113"/>
  <c r="AP80" i="113"/>
  <c r="AL80" i="113"/>
  <c r="AJ80" i="113"/>
  <c r="AF80" i="113"/>
  <c r="AD80" i="113"/>
  <c r="Z80" i="113"/>
  <c r="X80" i="113"/>
  <c r="T80" i="113"/>
  <c r="R80" i="113"/>
  <c r="N80" i="113"/>
  <c r="L80" i="113"/>
  <c r="H80" i="113"/>
  <c r="F80" i="113"/>
  <c r="CT79" i="113"/>
  <c r="CR79" i="113"/>
  <c r="CN79" i="113"/>
  <c r="CL79" i="113"/>
  <c r="CH79" i="113"/>
  <c r="CF79" i="113"/>
  <c r="CB79" i="113"/>
  <c r="BZ79" i="113"/>
  <c r="BV79" i="113"/>
  <c r="BT79" i="113"/>
  <c r="BP79" i="113"/>
  <c r="BN79" i="113"/>
  <c r="BJ79" i="113"/>
  <c r="BH79" i="113"/>
  <c r="BD79" i="113"/>
  <c r="BB79" i="113"/>
  <c r="AX79" i="113"/>
  <c r="AV79" i="113"/>
  <c r="AR79" i="113"/>
  <c r="AP79" i="113"/>
  <c r="AL79" i="113"/>
  <c r="AJ79" i="113"/>
  <c r="AF79" i="113"/>
  <c r="AD79" i="113"/>
  <c r="Z79" i="113"/>
  <c r="X79" i="113"/>
  <c r="T79" i="113"/>
  <c r="R79" i="113"/>
  <c r="N79" i="113"/>
  <c r="L79" i="113"/>
  <c r="H79" i="113"/>
  <c r="F79" i="113"/>
  <c r="CT78" i="113"/>
  <c r="CR78" i="113"/>
  <c r="CN78" i="113"/>
  <c r="CL78" i="113"/>
  <c r="CH78" i="113"/>
  <c r="CF78" i="113"/>
  <c r="CB78" i="113"/>
  <c r="BZ78" i="113"/>
  <c r="BV78" i="113"/>
  <c r="BT78" i="113"/>
  <c r="BP78" i="113"/>
  <c r="BN78" i="113"/>
  <c r="BJ78" i="113"/>
  <c r="BH78" i="113"/>
  <c r="BD78" i="113"/>
  <c r="BB78" i="113"/>
  <c r="AX78" i="113"/>
  <c r="AV78" i="113"/>
  <c r="AR78" i="113"/>
  <c r="AP78" i="113"/>
  <c r="AL78" i="113"/>
  <c r="AJ78" i="113"/>
  <c r="AF78" i="113"/>
  <c r="AD78" i="113"/>
  <c r="Z78" i="113"/>
  <c r="X78" i="113"/>
  <c r="T78" i="113"/>
  <c r="R78" i="113"/>
  <c r="N78" i="113"/>
  <c r="L78" i="113"/>
  <c r="H78" i="113"/>
  <c r="F78" i="113"/>
  <c r="D35" i="101"/>
  <c r="D5" i="101"/>
  <c r="D37" i="100"/>
  <c r="D5" i="100"/>
</calcChain>
</file>

<file path=xl/sharedStrings.xml><?xml version="1.0" encoding="utf-8"?>
<sst xmlns="http://schemas.openxmlformats.org/spreadsheetml/2006/main" count="1374" uniqueCount="510">
  <si>
    <t>Jahr</t>
  </si>
  <si>
    <t>Davon nach Wirtschaftsbereichen</t>
  </si>
  <si>
    <t>Baugewerbe</t>
  </si>
  <si>
    <t>Öffentliche und sonstige Dienstleister, Erziehung und Gesundheit</t>
  </si>
  <si>
    <t>Land- und Forstwirtschaft, Fischerei</t>
  </si>
  <si>
    <t>Produzierendes Gewerbe ohne Baugewerbe</t>
  </si>
  <si>
    <t>Finanz-, Ver-sicherungs- und Unternehmens-dienstleister, Grundstücks- und Wohnungswesen</t>
  </si>
  <si>
    <t>Mio. Euro</t>
  </si>
  <si>
    <t>Veränderung gegenüber dem Vorjahr in %</t>
  </si>
  <si>
    <t>Anteil an der Bruttowertschöpfung in %</t>
  </si>
  <si>
    <t>Anteil an Deutschland in %</t>
  </si>
  <si>
    <t>Brutto-wertschöpfung</t>
  </si>
  <si>
    <t>je Erwerbstätigen (Inland) Veränderung gegenüber dem Vorjahr in %</t>
  </si>
  <si>
    <t>Brutto-
inlandsprodukt</t>
  </si>
  <si>
    <t>insgesamt</t>
  </si>
  <si>
    <t>Schleswig-Holstein</t>
  </si>
  <si>
    <t>Insgesamt</t>
  </si>
  <si>
    <t>Davon im Wirtschaftsbereich</t>
  </si>
  <si>
    <t>Land- und Forst-wirtschaft, Fischerei</t>
  </si>
  <si>
    <t>Anteil am Arbeitnehmerentgelt insgesamt in %</t>
  </si>
  <si>
    <t>Primäreinkommen</t>
  </si>
  <si>
    <t>Geleistete Sozialbeiträge</t>
  </si>
  <si>
    <t>Vermögens-einkommen (saldiert)</t>
  </si>
  <si>
    <t>Betriebsüber­
schuss, Selbstständigen-einkommen</t>
  </si>
  <si>
    <t>Empfangene monetäre Sozialleistungen</t>
  </si>
  <si>
    <t>in % der Primäreinkommen</t>
  </si>
  <si>
    <t>Arbeitsvolumen in Mio. geleisteter Arbeitsstunden</t>
  </si>
  <si>
    <t>Veränderung zum Vorjahr in %</t>
  </si>
  <si>
    <t>Arbeitsvolumen je Erwerbstätigen in geleisteten Arbeitsstunden</t>
  </si>
  <si>
    <t>Bruttowertschöpfung in jeweiligen Preisen je geleisteter Arbeitsstunde in Euro</t>
  </si>
  <si>
    <t>Konsumausgaben</t>
  </si>
  <si>
    <t>zusammen</t>
  </si>
  <si>
    <t>Staat</t>
  </si>
  <si>
    <t xml:space="preserve"> </t>
  </si>
  <si>
    <t>in % des Bruttoinlandsproduktes</t>
  </si>
  <si>
    <t>–</t>
  </si>
  <si>
    <t>davon</t>
  </si>
  <si>
    <t>×</t>
  </si>
  <si>
    <t>Bruttoanlage-
investitionen</t>
  </si>
  <si>
    <t>Deckblatt</t>
  </si>
  <si>
    <t>Erläuterungen</t>
  </si>
  <si>
    <t>Inhaltsverzeichnis</t>
  </si>
  <si>
    <t>Blatt</t>
  </si>
  <si>
    <t>Titel</t>
  </si>
  <si>
    <t>Kapitel 12: Gesamtwirtschaft</t>
  </si>
  <si>
    <t>12.1</t>
  </si>
  <si>
    <t>12.2</t>
  </si>
  <si>
    <t>12.3</t>
  </si>
  <si>
    <t>12.4</t>
  </si>
  <si>
    <t>12.5</t>
  </si>
  <si>
    <t>12.6</t>
  </si>
  <si>
    <t>12.7</t>
  </si>
  <si>
    <t>12.8</t>
  </si>
  <si>
    <t>12.9</t>
  </si>
  <si>
    <t>12.10</t>
  </si>
  <si>
    <t>12.11</t>
  </si>
  <si>
    <t>12.12</t>
  </si>
  <si>
    <t>12.13</t>
  </si>
  <si>
    <t>12.14</t>
  </si>
  <si>
    <t>12.15</t>
  </si>
  <si>
    <t>12.16</t>
  </si>
  <si>
    <t>12.17</t>
  </si>
  <si>
    <t>12.18</t>
  </si>
  <si>
    <t>12.19</t>
  </si>
  <si>
    <t>·</t>
  </si>
  <si>
    <t>Geleistete Einkommen- und Vermögenssteuer</t>
  </si>
  <si>
    <t>Bruttoanlage-investitionen</t>
  </si>
  <si>
    <t>Statistisches Jahrbuch</t>
  </si>
  <si>
    <t>Gesamtwirtschaft</t>
  </si>
  <si>
    <t>Kapitel 12</t>
  </si>
  <si>
    <t>Impressum und Zeichenerklärungen</t>
  </si>
  <si>
    <t>Herausgegeben 
von</t>
  </si>
  <si>
    <t>Statistisches Amt für Hamburg und Schleswig-Holstein
Anstalt des öffentlichen Rechts
Steckelhörn 12, 20457 Hamburg</t>
  </si>
  <si>
    <t>Auskünfte</t>
  </si>
  <si>
    <t xml:space="preserve">Telefon 040 42831-1766
E-Mail info@statistik-nord.de 
Internet www.statistik-nord.de </t>
  </si>
  <si>
    <t>weniger als die Hälfte von 1 in der letzten besetzten Stelle, jedoch mehr als nichts</t>
  </si>
  <si>
    <t>nichts vorhanden (genau Null)</t>
  </si>
  <si>
    <t>···</t>
  </si>
  <si>
    <t>Angabe fällt später an</t>
  </si>
  <si>
    <t>Zahlenwert unbekannt oder geheim zu halten</t>
  </si>
  <si>
    <t>Tabellenfach gesperrt, weil Aussage nicht sinnvoll</t>
  </si>
  <si>
    <t>/</t>
  </si>
  <si>
    <t>Zahlenwert nicht sicher genug</t>
  </si>
  <si>
    <t>( )</t>
  </si>
  <si>
    <t>Zahlenwert mit eingeschränkter Aussagefähigkeit</t>
  </si>
  <si>
    <t xml:space="preserve">a. n. g. </t>
  </si>
  <si>
    <t>anderweitig nicht genannt</t>
  </si>
  <si>
    <t>u. dgl.</t>
  </si>
  <si>
    <t>und dergleichen</t>
  </si>
  <si>
    <t>p</t>
  </si>
  <si>
    <t>vorläufiges Ergebnis</t>
  </si>
  <si>
    <t>r</t>
  </si>
  <si>
    <t>berichtigtes Ergebnis</t>
  </si>
  <si>
    <t>s</t>
  </si>
  <si>
    <t>geschätztes Ergebnis</t>
  </si>
  <si>
    <t>und zwar</t>
  </si>
  <si>
    <t>die aufgeführten Teilmengen können sich überschneiden; sie sind nicht summierbar</t>
  </si>
  <si>
    <t xml:space="preserve">darunter </t>
  </si>
  <si>
    <t>diese Untergruppen bilden zusammen nur einen Teil der vorausgehenden Obergruppe</t>
  </si>
  <si>
    <t>diese Untergruppen bilden zusammen die ganze vorausgehende Obergruppe</t>
  </si>
  <si>
    <t>Allgemeine Erläuterungen</t>
  </si>
  <si>
    <t>Erläuterungen in alphabetischer Reihenfolge</t>
  </si>
  <si>
    <t>Arbeitnehmer-
entgelt</t>
  </si>
  <si>
    <t>Arbeitsvolumen</t>
  </si>
  <si>
    <t>Die Bruttoanlageinvestitionen umfassen den Erwerb von dauerhaften und reproduzierbaren Produktionsmitteln sowie selbst erstellte Anlagen und größere Wert steigernde Reparaturen. Es werden auch gewisse Werterhöhungen an nichtproduzierten Vermögensgütern berücksichtigt, insbesondere erhebliche Verbesserungen an Grund und Boden (z. B. Trockenlegung von Marschland etc.). Militärische Anlagen werden berücksichtigt, soweit sie zivil nutzbar sind. Als dauerhaft gelten diejenigen Produktionsmittel, deren Nutzungsdauer mehr als ein Jahr beträgt. Die Bruttoanlageinvestitionen setzen sich aus dem Erwerb neuer Anlagen und dem Saldo aus Käufen und Verkäufen von gebrauchten Anlagen zusammen. Da ein vollständiger Nachweis der Transaktionen mit gebrauchten Anlagen zwischen den investierenden Wirtschaftsbereichen mangels statistischer Unterlagen nicht möglich ist, können die Anlageinvestitionen nach Wirtschaftsbereichen nur auf Grundlage neuer Anlagen dargestellt werden.</t>
  </si>
  <si>
    <t xml:space="preserve">Brutto-
inlandsprodukt, Brutto-
wertschöpfung </t>
  </si>
  <si>
    <t xml:space="preserve">Das Bruttoinlandsprodukt umfasst den Wert aller innerhalb eines Wirtschaftsgebietes während einer bestimmten Periode produzierten Waren und Dienstleistungen; es entspricht der Bruttowertschöpfung aller Wirtschaftsbereiche vermehrt um die Gütersteuern abzüglich der Gütersubventionen. Die Bruttowertschöpfung, die zu Herstellungspreisen bewertet wird, ergibt sich für jeden Wirtschaftsbereich aus dem Bruttoproduktionswert zu Herstellungspreisen abzüglich der Vorleistungen zu Anschaffungspreisen.
</t>
  </si>
  <si>
    <t>Erwerbstätige</t>
  </si>
  <si>
    <t>Gewerbe-
anzeigen</t>
  </si>
  <si>
    <t>Insolvenzen</t>
  </si>
  <si>
    <t>Besonderheiten in den Jahren 2020 und 2021</t>
  </si>
  <si>
    <t>Die Konsumausgaben des Staates entsprechen dem Wert der Güter, die vom Staat selbst produziert werden, (jedoch ohne selbst erstellte Anlagen und Verkäufe) sowie den Ausgaben für Güter, die als soziale Sachtransfers den privaten Haushalten für ihren Konsum zur Verfügung gestellt werden.</t>
  </si>
  <si>
    <t>Niederlassung</t>
  </si>
  <si>
    <t>Rechtliche Einheit</t>
  </si>
  <si>
    <t xml:space="preserve">Unternehmens-
begriff </t>
  </si>
  <si>
    <t>Methodischer Hinweis zum Unternehmensbegriff: Änderung der Ergebnisdarstellung in der amtlichen Statistik</t>
  </si>
  <si>
    <t xml:space="preserve">Das Unternehmen entspricht der kleinsten Kombination rechtlicher Einheiten, die eine organisatorische Einheit zur Erzeugung von Waren und Dienstleistungen bildet und insbesondere in Bezug auf die Verwendung der ihr zufließenden laufenden Mittel über eine gewisse Entscheidungsfreiheit verfügt (Definition gemäß EU-Einheitenverordnung – Verordnung (EWG) Nr. 696/93 des Rates vom 15. März 1993).
Ein Unternehmen übt eine Tätigkeit oder mehrere Tätigkeiten an einem Standort oder an mehreren Standorten aus.
Ein Unternehmen kann aus mehreren rechtlichen Einheiten bestehen.
</t>
  </si>
  <si>
    <t xml:space="preserve">https://www.statistik-nord.de/zahlen-fakten/unternehmen/unternehmensbegriff </t>
  </si>
  <si>
    <t>Nicht in allen Statistiken wird die neue Unternehmensdefinition verwendet. Eine Übersicht zu dem jeweils verwendeten Begriff findet sich unter</t>
  </si>
  <si>
    <t xml:space="preserve">https://www.statistik-nord.de/fileadmin/Dokumente/Erhebungen/EU-Unternehmensbegriff-Unterlagen/2020-12-14-Uebersicht_Einheitendefinitionen_Statistische_Unternehmen.pdf </t>
  </si>
  <si>
    <t xml:space="preserve">Unternehmens-
register </t>
  </si>
  <si>
    <t>Das deutsche Unternehmensregister ist eine bei den Statistischen Ämtern der Bundesländer geführte, regelmäßig aktualisierte Datenbank mit Rechtlichen Einheiten und Niederlassungen aus nahezu allen Wirtschaftsbereichen mit steuerbarem Umsatz aus Lieferungen und Leistungen und/oder sozialversicherungspflichtig Beschäftigten. Quellen zur Pflege sind zum einen Dateien aus Verwaltungsbereichen, wie die Bundesagentur für Arbeit oder die Finanzbehörden, und zum anderen Angaben aus einzelnen Bereichsstatistiken.
Daten aus dem Unternehmensregister stimmen im Allgemeinen nicht exakt mit den aus statistischen Erhebungen gewonnenen Werten zu den Einheiten und Merkmalen überein.</t>
  </si>
  <si>
    <t>Verfügbares Einkommen</t>
  </si>
  <si>
    <t>Das Verfügbare Einkommen der privaten Haushalte (Ausgabenkonzept) ergibt sich dadurch, dass dem Primäreinkommen einerseits die monetären Sozialleistungen und sonstigen laufenden Transfers hinzugefügt werden, die die privaten Haushalte überwiegend seitens des Staates empfangen; abgezogen werden dagegen andererseits Einkommen- und Vermögenssteuern, Sozialbeiträge und sonstige laufende Transfers, die von den privaten Haushalten zu leisten sind. Das Verfügbare Einkommen der privaten Haushalte entspricht damit den Einkommen, die den privaten Haushalten letztendlich zufließen und die sie für Konsum- und Sparzwecke verwenden können.</t>
  </si>
  <si>
    <t>Zeichen-erklärungen</t>
  </si>
  <si>
    <t>Differenzen zwischen Gesamtzahl und Summe der Teilzahlen entstehen durch unabhängige Rundung; allen Rechnungen liegen die ungerundeten Zahlen zugrunde.</t>
  </si>
  <si>
    <t>  </t>
  </si>
  <si>
    <t>Grafik 1</t>
  </si>
  <si>
    <t>Grafik 2</t>
  </si>
  <si>
    <t>Grafik 3</t>
  </si>
  <si>
    <t>Grafik 4</t>
  </si>
  <si>
    <t>Handel, Verkehr und Lagerei, Gastgewerbe, Information und Kommunikation</t>
  </si>
  <si>
    <t>Finanz-, Versicherungs- und Unternehmensdienstleister, Grundstücks- und Wohnungswesen</t>
  </si>
  <si>
    <t>Das Primäreinkommen der privaten Haushalte (einschließlich privater Organisationen ohne Erwerbszweck) enthält die Einkommen aus Erwerbstätigkeit und Vermögen, die den inländischen privaten Haushalten zugeflossen sind. Zu diesen Einkommen gehören im Einzelnen das Arbeitnehmerentgelt, die Selbstständigeneinkommen der Einzelunternehmen und Selbstständigen, die auch eine Vergütung für die mithelfenden Familienangehörigen enthalten, der Betriebsüberschuss aus der Produktion von Dienstleistungen aus eigengenutztem Wohneigentum sowie die netto empfangenen Vermögenseinkommen.</t>
  </si>
  <si>
    <t>Primär-einkommen</t>
  </si>
  <si>
    <r>
      <t>Das Arbeitnehmerentgelt (Inland) umfasst sämtliche Geld- und Sachleistungen, die den innerhalb eines Wirtschaftsgebietes beschäftigten Arbeitnehmer</t>
    </r>
    <r>
      <rPr>
        <sz val="9"/>
        <color theme="1"/>
        <rFont val="Arial"/>
        <family val="2"/>
      </rPr>
      <t xml:space="preserve">:innen aus den Arbeits- oder Dienstverhältnissen zugeflossen sind. Das Arbeitnehmerentgelt setzt sich zusammen aus den Bruttolöhnen und  -gehältern sowie den tatsächlichen und unterstellten Sozialbeiträgen der Arbeitgeber:innen. </t>
    </r>
  </si>
  <si>
    <r>
      <t>Das Arbeitsvolumen umfasst die tatsächlich geleistete Arbeitszeit aller Erwerbstätigen, die als Arbeitnehmer</t>
    </r>
    <r>
      <rPr>
        <sz val="9"/>
        <color theme="1"/>
        <rFont val="Arial"/>
        <family val="2"/>
      </rPr>
      <t>:innen oder als Selbstständige bzw. als mithelfende Familienangehörige eine auf wirtschaftlichen Erwerb gerichtete Tätigkeit ausüben. Hierzu zählen auch die geleisteten Arbeitsstunden von Personen mit mehreren gleichzeitigen Beschäftigungsverhältnissen. Hingegen gehören die bezahlten, aber nicht geleisteten Arbeitsstunden, beispielsweise Jahresurlaub, Elternzeit, Feiertage, Kurzarbeit oder krankheitsbedingte Abwesenheit nicht zum Arbeitsvolumen. Ebenfalls nicht erfasst werden die nicht bezahlten Pausen für das Einnehmen von Mahlzeiten sowie die Zeit für die Fahrten von der Wohnung zum Arbeitsplatz und zurück. Das Arbeitsvolumen umfasst somit die Gesamtzahl der während des Berichtszeitraums am jeweiligen Arbeitsort von Arbeitnehmer:innen sowie Selbstständigen innerhalb einer Region tatsächlich geleisteten Stunden. Es berücksichtigt weder Intensität noch Qualität der geleisteten Arbeit.</t>
    </r>
  </si>
  <si>
    <r>
      <t>Als Erwerbstätige (Inland) werden alle Personen angesehen, die innerhalb eines Wirtschaftsgebietes einer Erwerbstätigkeit oder mehreren Erwerbstätigkeiten nachgehen, unabhängig von der Dauer der tatsächlich geleisteten oder vertragsmäßig zu leistenden wöchentlichen Arbeitszeit. Nach der Stellung im Beruf wird unterschieden zwischen Selbstständigen und mithelfenden Familienangehörigen sowie Arbeitnehmer</t>
    </r>
    <r>
      <rPr>
        <sz val="9"/>
        <color theme="1"/>
        <rFont val="Arial"/>
        <family val="2"/>
      </rPr>
      <t>:innen (Arbeiter:innen, Angestellte, geringfügig Beschäftigte, verbeamtete Personen). Bei den Erwerbstätigen (Inländer) wird die Erwerbstätigkeit im Gegensatz zum Inlandskonzept nicht nach dem Arbeitsort, sondern nach dem Wohnort festgestellt.</t>
    </r>
  </si>
  <si>
    <t>Konsumausgaben des Staates</t>
  </si>
  <si>
    <t>Sofern nicht anders vermerkt, beziehen sich die Tabellen auf das Gebiet des Landes Schleswig-Holsteins. Die Angaben für die Bundesrepublik Deutschland beziehen sich auf den Gebietsstand seit dem 03.10.1990. Beziehen sich die Angaben auf den Gebietsstand vor dem 03.10.1990, so macht dies eine Fußnote deutlich. Sie schließen in diesem Fall Berlin-West ein.  
Alle bevölkerungsbasierten Verhältniszahlen („je Einwohner:in“) beziehen sich auf die Ergebnisse der Bevölkerungsfortschreibung (siehe hierzu auch die Erläuterungen im Kapitel 1 „Bevölkerung, Haushalt und Familie“). Abweichungen werden durch Fußnoten kenntlich gemacht.
Quellen sind nur dann vermerkt, wenn es sich nicht um vom Statistikamt Nord durchgeführte Fachstatistiken handelt oder wenn dies bei unterschiedlichen Erhebungs- oder Berechnungsmethoden zur Vermeidung von Missverständnissen notwendig ist (z. B. bei Bevölkerungsdaten aus der Bevölkerungsfortschreibung, dem Melderegister oder dem Mikrozensus). 
Für Fälle des dritten Geschlechts, die zur Wahrung der Geheimhaltung nicht explizit veröffentlicht werden können, erfolgt für die Veröffentlichung eine Zuordnung der Merkmalsausprägungen „divers“ und „ohne Angabe“ zu den Kategorien „männlich“ und „weiblich“ per Zufallsprinzip.</t>
  </si>
  <si>
    <t>Neue Unternehmensdefinition (ab Berichtsjahr 2018):</t>
  </si>
  <si>
    <t>Alte Unternehmensdefinition (neue Bezeichnung: Rechtliche Einheit)</t>
  </si>
  <si>
    <t>Weitere Erläuterungen zur neuen Unternehmensdefinition finden sich unter</t>
  </si>
  <si>
    <t>Weiterführende Informationen zur Unternehmensdefinition</t>
  </si>
  <si>
    <t xml:space="preserve">Die Rechtliche Einheit wird in der deutschen amtlichen Statistik als kleinste rechtlich selbstständige Einheit definiert, die aus handels- bzw. steuerrechtlichen Gründen Bücher führt und eine jährliche Feststellung des Vermögensbestandes bzw. des Erfolgs der wirtschaftlichen Tätigkeit vornehmen muss.
Die in diesem Kapitel enthaltenen Ergebnisse zu rechtlichen Einheiten sind uneingeschränkt vergleichbar mit älteren Ergebnissen nach alter Definition von Unternehmen. </t>
  </si>
  <si>
    <t>Impressum</t>
  </si>
  <si>
    <t>Anteil in %</t>
  </si>
  <si>
    <t>Insgesamt in Mio. Euro</t>
  </si>
  <si>
    <t>Bruttoinlandsprodukt (preisbereingt, verkettet)</t>
  </si>
  <si>
    <t>Veränderung gegenüber Vorjahr in Prozent</t>
  </si>
  <si>
    <t>Empfangenes Arbeitnehmerentgelt 
(Inländer)</t>
  </si>
  <si>
    <t>Gewerbeabmeldungen sind erforderlich bei vollständiger oder teilweiser Aufgabe eines Betriebes, bei Übergabe eines weiterhin bestehenden Betriebes (durch Verkauf, Verpachtung, Erbfolge, Änderung der Rechtsform) oder beim Fortzug in einen anderen Meldebezirk. Bei Gewerbeabmeldungen ist von einer Untererfassung auszugehen, da nicht jeder Gewerbebetrieb nach Beendigung der wirtschaftlichen Tätigkeit oder bei einer Sitzverlagerung abgemeldet wird.</t>
  </si>
  <si>
    <t xml:space="preserve">Eine Gewerbeanmeldung ist bei der Neuerrichtung, der Übernahme (durch Kauf, Pacht, Erbfolge oder Änderung der Rechtsform) oder dem Zuzug eines Betriebes aus einem anderen Meldebezirk abzugeben. Bei der Interpretation der Ergebnisse ist zu berücksichtigen, dass die Abgabe der Gewerbeanmeldungen eine Absichtserklärung über die Aufnahme eines Gewerbes ist. Es ist nicht nachprüfbar, inwieweit das Gewerbe überhaupt bzw. in der angemeldeten Form aufgenommen wird. Es muss daher bei den Gewerbeanmeldungen von einer tendenziellen Überhöhung der Daten ausgegangen werden. Da aus den Gewerbeanzeigen zudem nicht erkennbar ist, ob es sich um die erstmalige Gründung eines Gewerbes handelt, können dieser Statistik keine Angaben über Existenzgründungen entnommen werden.
</t>
  </si>
  <si>
    <t xml:space="preserve">Gewerbeummeldungen werden seit September 2006 nicht mehr ausgewertet.
</t>
  </si>
  <si>
    <t>Die jährliche Statistik über beendete Insolvenzverfahren und Restschuldbefreiung ist eine Vollerhebung. Nach dem Insolvenzstatistikgesetz ist die jeweilige Insolvenzverwaltung, Sachwaltung oder Treuhand auskunftspflichtig.</t>
  </si>
  <si>
    <t>Durch eine Änderung der Insolvenzordnung im Dezember 2020 wurde die Wohlverhaltensphase von generell sechs auf drei Jahre für Insolvenzverfahren von natürlichen Personen verkürzt, die ab dem 1. Oktober 2020 beantragt wurden. Gleichzeitig werden die Verfahrenskostendeckung und die Erfüllung von Mindestbefriedigungsanforderungen nicht mehr für eine verkürzte Wohlverhaltensphase vorausgesetzt. 
 </t>
  </si>
  <si>
    <t xml:space="preserve">Ab Juli 2014 war eine Restschuldbefreiung bereits nach fünf Jahren möglich, wenn die Verfahrenskosten bezahlt wurden. Konnten zusätzlich mindestens 35 Prozent der Forderungen getilgt werden, waren bereits nach drei Jahren die Voraussetzungen für eine Restschuldbefreiung erfüllt.
</t>
  </si>
  <si>
    <t xml:space="preserve">Seit Dezember 2001 können bei natürlichen Personen die Verfahrenskosten gestundet werden. Außerdem wurde die sogenannte „Wohlverhaltensphase“, die Voraussetzung für eine Restschuldbefreiung ist, auf sechs Jahre verkürzt. Dies führte bundesweit dazu, dass deutlich mehr natürliche Personen, wie Verbraucher:innen oder ehemals selbstständig Tätige, einen Antrag auf Eröffnung eines Insolvenzverfahrens stellten.
</t>
  </si>
  <si>
    <t>Zudem wurde das „Verbraucherinsolvenzverfahren“ geschaffen, das auch sonstige Kleinverfahren umfasst. Damit wird überschuldeten Privatpersonen ermöglicht, wieder schuldenfrei zu werden. Die Bedeutung von Verbraucherinsolvenzen war in den ersten Jahren nach Einführung noch vergleichsweise gering. Der Grund hierfür liegt u. a. darin, dass ein Antrag auf Eröffnung eines Verfahrens einen zeitaufwändigen außergerichtlichen Einigungsversuch voraussetzt. 
 </t>
  </si>
  <si>
    <t xml:space="preserve">Seit 1. Januar 1999 gilt in Deutschland eine einheitliche Insolvenzordnung. Sie löste die bis dahin gültige Konkursordnung aus dem Jahr 1877 sowie die Vergleichsordnung aus dem Jahr 1935 ab. Während die Konkursordnung hauptsächlich auf die Befriedigung der Gläubiger:innen abzielte, was oftmals zur Zerschlagung der Unternehmen führte, stellen in der geltenden Insolvenzordnung die Sanierung und damit der Erhalt der Unternehmen und die Befriedigung der Gläubiger:innen gleichrangige Ziele dar. Hierzu wurden Regelungen erlassen, die einer rechtzeitigen und einfacheren Eröffnung eines Insolvenzverfahrens dienen sollen. So wurde als weiterer Eröffnungsgrund neben Zahlungsunfähigkeit und Überschuldung die drohende Zahlungsunfähigkeit eingeführt.
</t>
  </si>
  <si>
    <t>Grundlage der Insolvenzstatistik ist das Insolvenzstatistikgesetz, das auf der Insolvenzordnung basiert. Im Insolvenzstatistikgesetz wird unter anderem festgelegt, dass die schleswig-holsteinischen Insolvenzgerichte monatliche Meldungen über Anträge auf Eröffnung von Insolvenzverfahren an das Statistikamt abgeben müssen, soweit diese als zulässig erklärt und dafür Entscheidungen getroffen worden sind.
 </t>
  </si>
  <si>
    <t>Im Unternehmensregister werden alle Niederlassungen ausgewertet, die zu einem Quartalsstichtag des Berichtsjahres über sozialversicherungspflichtig Beschäftigte verfügten. Darüber hinaus werden auch Nieder-lassungen von Rechtlichen Einheiten erfasst, die aus lediglich einer Niederlassung am Standort der Rechtlichen Einheit bestehen, die keine Beschäftigten hat, jedoch über Umsätze für das Berichtsjahr der zuletzt verarbeiteten Verwaltungs- und Statistikdaten verfügt. 
Dadurch, dass in den Dateien der Bundesagentur für Arbeit zum Teil die Beschäftigten mehrerer Niederlassungen unter einer Meldung zusammengefasst werden, ist die tatsächliche Anzahl der Niederlassungen unterrepräsentiert. Die gegenteilige Wirkung entsteht, wenn die Bundesagentur für Arbeit in bestimmten Fällen mehrere Identifikationsnummern an dieselbe Niederlassung vergibt. Durch derartige Effekte kann die Gruppierung nach Größenklassen der Beschäftigten verschoben sein.</t>
  </si>
  <si>
    <t>Eine Niederlassung ist eine örtlich abgegrenzte Einheit, die einer Rechtlichen Einheit zugeordnet ist. Sie ist rechtlich unselbstständig.
 </t>
  </si>
  <si>
    <t xml:space="preserve">Eine Rechtliche Einheit wird in der deutschen amtlichen Statistik als kleinste rechtlich selbstständige Einheit definiert, die aus handels- bzw. steuerrechtlichen Gründen Bücher führt. Ferner muss die Rechtliche Einheit eine jährliche Feststellung des Vermögensbestandes bzw. des Erfolgs der wirtschaftlichen Tätigkeit vornehmen. Hierzu zählt auch die Ausübung einer freiberuflichen Tätigkeit.
Eine Rechtliche Einheit ist demnach eine natürliche Person, die wirtschaftlich tätig ist, eine juristische Person oder eine Personenvereinigung. Betrachtet werden also beispielsweise eine Aktiengesellschaft, Gesellschaft mit beschränkter Haftung, Offene Handelsgesellschaft oder Einzelunternehmer.
</t>
  </si>
  <si>
    <t> Bei der Auswertung des Unternehmensregisters werden alle Rechtliche Einheiten einbezogen, die im Berichtsjahr der zuletzt verarbeiteten Verwaltungsdatenlieferung steuerbaren Umsatz aus Lieferung und Leistungen und/oder sozialversicherungspflichtig Beschäftigte (ohne geringfügig Beschäftigte) zu einem Quartalsstichtag des Berichtsjahres hatten, unabhängig davon, ob sie zu einem bestimmten späteren Stand des Unternehmensregisters noch wirtschaftlich aktiv waren oder nicht. 
Dieses Auswertungskonzept zielt auf eine Darstellung des Gesamtbestandes an Rechtlichen Einheiten in ähnlicher Form wie dies bislang klassisch durch Großzählungen erreicht wurde. Der Gesamtbestand an Wirtschaftseinheiten bezieht sich nicht auf den Auswertungsstichtag. Basis sind vielmehr die zuletzt im Unternehmensregister verarbeiteten Verwaltungsdaten. Ergebnisse werden nahezu über alle Wirtschaftszweige hinweg ausgewiesen. Land- und Forstwirtschaft, Fischerei und Fischzucht (Abschnitt A der WZ 2008) sowie öffentliche Verwaltungen (Abschnitt O der WZ 2008) sind derzeit ausgenommen. Bei Rechtlichen Einheiten mit mehreren Niederlassungen erfolgt die Wirtschaftszweigzuordnung anhand des Schwerpunkts der Rechtlichen Einheit. Die Anzahl der Beschäftigten der zugehörigen Niederlassungen wird bei der Rechtlichen Einheit summiert.</t>
  </si>
  <si>
    <r>
      <rPr>
        <b/>
        <sz val="11"/>
        <color rgb="FF244061"/>
        <rFont val="Arial"/>
        <family val="2"/>
      </rPr>
      <t>Unternehmensinsolvenzen</t>
    </r>
    <r>
      <rPr>
        <b/>
        <sz val="9"/>
        <rFont val="Arial"/>
        <family val="2"/>
      </rPr>
      <t xml:space="preserve">
</t>
    </r>
    <r>
      <rPr>
        <sz val="9"/>
        <rFont val="Arial"/>
        <family val="2"/>
      </rPr>
      <t xml:space="preserve">Die Insolvenzantragspflicht war vom 1. März bis Ende 2020 für Unternehmen ausgesetzt, deren Überschuldung oder Zahlungsunfähigkeit auf den Folgen der COVID-19-Pandemie beruhte und für die im Falle von Zahlungsunfähigkeit die Aussicht bestand, diese zu beseitigen. Eine Verlängerung der Aussetzung war bis 30. April 2021 nur unter bestimmten Voraussetzungen möglich. </t>
    </r>
  </si>
  <si>
    <r>
      <rPr>
        <b/>
        <sz val="11"/>
        <color rgb="FF244061"/>
        <rFont val="Arial"/>
        <family val="2"/>
      </rPr>
      <t>Insolvenzen von natürlichen Personen</t>
    </r>
    <r>
      <rPr>
        <sz val="9"/>
        <rFont val="Arial"/>
        <family val="2"/>
      </rPr>
      <t xml:space="preserve">
Im Dezember 2020 wurde das „Gesetz zur weiteren Verkürzung des Restschuldbefreiungsverfahrens und zur Anpassung pandemiebedingter Vorschriften im Gesellschafts-, Genossenschafts-, Vereins- und Stiftungsrecht sowie im Miet- und Pachtrecht“ verabschiedet. Die Verkürzung des Restschuldbefreiungsverfahrens sowie die Übergangsregelung beeinflussten die Anzahl der von natürlichen Personen beantragten Insolvenzverfahren in den Monaten während und nach dem Abschluss des Gesetzgebungsverfahrens.</t>
    </r>
  </si>
  <si>
    <t xml:space="preserve">
Statistisches Amt für Hamburg und Schleswig-Holstein</t>
  </si>
  <si>
    <t xml:space="preserve">Alle juristischen und natürlichen Personen, die nach § 14 Gewerbeordnung verpflichtet sind, die Aufnahme, Änderung oder Aufgabe einer gewerblichen Tätigkeit der zuständigen Behörde anzuzeigen, müssen darüber eine Meldung beim zuständigen Gewerbeamt  abgeben. Nicht zu diesem Personenkreis zählen die sogenannte Urproduktion (Land- und forstwirtschaftliche Betriebe) sowie die Freien Berufe. Die Gewerbeanzeigenstatistik als Sekundärstatistik beruht auf diesen bei den Gewerbeämtern eingereichten und an das Statistikamt übermittelten Gewerbeanzeigen.
</t>
  </si>
  <si>
    <t>© Statistisches Amt für Hamburg und Schleswig-Holstein, 2025
Auszugsweise Vervielfältigung und Verbreitung mit Quellenangabe gestattet.  
Sofern in den Produkten auf das Vorhandensein von Copyrightrechten Dritter hingewiesen wird, sind die in deren Produkten ausgewiesenen Copyrightbestimmungen zu wahren. Alle übrigen Rechte bleiben vorbehalten.</t>
  </si>
  <si>
    <r>
      <t>Finanz-, Ver-sicherungs- und Unternehmens-</t>
    </r>
    <r>
      <rPr>
        <sz val="9"/>
        <rFont val="Arial"/>
        <family val="2"/>
      </rPr>
      <t>dienstleister,</t>
    </r>
    <r>
      <rPr>
        <sz val="9"/>
        <color theme="1"/>
        <rFont val="Arial"/>
        <family val="2"/>
      </rPr>
      <t xml:space="preserve"> Grundstücks- und Wohnungswesen</t>
    </r>
  </si>
  <si>
    <r>
      <t xml:space="preserve">Öffentliche und sonstige </t>
    </r>
    <r>
      <rPr>
        <sz val="9"/>
        <rFont val="Arial"/>
        <family val="2"/>
      </rPr>
      <t>Dienstleister,</t>
    </r>
    <r>
      <rPr>
        <sz val="9"/>
        <color theme="1"/>
        <rFont val="Arial"/>
        <family val="2"/>
      </rPr>
      <t xml:space="preserve"> Erziehung und Gesundheit</t>
    </r>
  </si>
  <si>
    <r>
      <t>1</t>
    </r>
    <r>
      <rPr>
        <sz val="8"/>
        <color theme="1"/>
        <rFont val="Arial"/>
        <family val="2"/>
      </rPr>
      <t xml:space="preserve">  Klassifikation der Wirtschaftszweige 2008 (WZ 2008)</t>
    </r>
  </si>
  <si>
    <r>
      <t>Private Haushalte</t>
    </r>
    <r>
      <rPr>
        <vertAlign val="superscript"/>
        <sz val="9"/>
        <color theme="1"/>
        <rFont val="Arial"/>
        <family val="2"/>
      </rPr>
      <t>1</t>
    </r>
  </si>
  <si>
    <r>
      <t>1</t>
    </r>
    <r>
      <rPr>
        <sz val="8"/>
        <color theme="1"/>
        <rFont val="Arial"/>
        <family val="2"/>
      </rPr>
      <t xml:space="preserve">  einschließlich private Organisationen ohne Erwerbszweck</t>
    </r>
  </si>
  <si>
    <r>
      <t>Verfügbares Einkommen der privaten Haushalte</t>
    </r>
    <r>
      <rPr>
        <vertAlign val="superscript"/>
        <sz val="9"/>
        <color theme="1"/>
        <rFont val="Arial"/>
        <family val="2"/>
      </rPr>
      <t>1</t>
    </r>
  </si>
  <si>
    <r>
      <t>1</t>
    </r>
    <r>
      <rPr>
        <sz val="8"/>
        <rFont val="Arial"/>
        <family val="2"/>
      </rPr>
      <t xml:space="preserve">  Klassifikation der Wirtschaftszweige 2008 (WZ 2008)</t>
    </r>
  </si>
  <si>
    <r>
      <rPr>
        <b/>
        <u/>
        <sz val="8"/>
        <color rgb="FF003063"/>
        <rFont val="Arial"/>
        <family val="2"/>
      </rPr>
      <t xml:space="preserve">› </t>
    </r>
    <r>
      <rPr>
        <u/>
        <sz val="8"/>
        <color rgb="FF003063"/>
        <rFont val="Arial"/>
        <family val="2"/>
      </rPr>
      <t>zum Inhaltsverzeichnis</t>
    </r>
  </si>
  <si>
    <r>
      <rPr>
        <b/>
        <u/>
        <sz val="8"/>
        <color rgb="FF244061"/>
        <rFont val="Arial"/>
        <family val="2"/>
      </rPr>
      <t xml:space="preserve">› </t>
    </r>
    <r>
      <rPr>
        <u/>
        <sz val="8"/>
        <color rgb="FF244061"/>
        <rFont val="Arial"/>
        <family val="2"/>
      </rPr>
      <t>zum Inhaltsverzeichnis</t>
    </r>
  </si>
  <si>
    <r>
      <t>Private Haushalte</t>
    </r>
    <r>
      <rPr>
        <vertAlign val="superscript"/>
        <sz val="9"/>
        <rFont val="Arial"/>
        <family val="2"/>
      </rPr>
      <t>1</t>
    </r>
  </si>
  <si>
    <r>
      <t>1</t>
    </r>
    <r>
      <rPr>
        <sz val="8"/>
        <rFont val="Arial"/>
        <family val="2"/>
      </rPr>
      <t xml:space="preserve">  einschließlich private Organisationen ohne Erwerbszweck</t>
    </r>
  </si>
  <si>
    <r>
      <t>1</t>
    </r>
    <r>
      <rPr>
        <sz val="8"/>
        <rFont val="Arial"/>
        <family val="2"/>
      </rPr>
      <t xml:space="preserve">  nach dem Inlandskonzept der Volkswirtschaftlichen Gesamtrechnungen</t>
    </r>
  </si>
  <si>
    <r>
      <t>2</t>
    </r>
    <r>
      <rPr>
        <sz val="8"/>
        <rFont val="Arial"/>
        <family val="2"/>
      </rPr>
      <t xml:space="preserve">  Klassifikation der Wirtschaftszweige 2008 (WZ 2008)</t>
    </r>
  </si>
  <si>
    <t>Unternehmensdemografie in Schleswig-Holstein im Berichtsjahr 2023 nach Beschäftigtengrößenklasse</t>
  </si>
  <si>
    <t>Bruttoinlandsprodukt und Bruttowertschöpfung nach Wirtschaftsbereichen in jeweiligen Preisen in Schleswig-Holstein 2000 – 2024</t>
  </si>
  <si>
    <t>Bruttoinlandsprodukt und Bruttowertschöpfung nach Wirtschaftsbereichen (preisbereinigt, verkettet) in Schleswig-Holstein 2000 – 2024</t>
  </si>
  <si>
    <t>Anteile der Wirtschaftsbereiche an der Bruttowertschöpfung in jeweiligen Preisen in Schleswig-Holstein 2000 und 2024</t>
  </si>
  <si>
    <t>Bruttoinlandsprodukt (preisbereinigt, verkettet) und Erwerbstätige in Schleswig-Holstein 2001 – 2024 (Veränderung gegenüber Vorjahr in Prozent)</t>
  </si>
  <si>
    <t>Arbeitnehmerentgelt in Schleswig-Holstein 2000 – 2024 nach Wirtschaftsbereichen</t>
  </si>
  <si>
    <t>Primäreinkommen und Verfügbares Einkommen der privaten Haushalte in Schleswig-Holstein 2000 – 2023</t>
  </si>
  <si>
    <t>Arbeitsvolumen der Erwerbstätigen und Bruttowertschöpfung je geleisteter Stunde in Schleswig-Holstein 2000 – 2024 nach Wirtschaftsbereichen</t>
  </si>
  <si>
    <t>Verwendung des Bruttoinlandsprodukts in jeweiligen Preisen in Schleswig-Holstein 2000 – 2023</t>
  </si>
  <si>
    <t>Verwendung des Bruttoinlandsprodukts (preisbereinigt, verkettet) in Schleswig-Holstein 2000 – 2023</t>
  </si>
  <si>
    <t>Rechtliche Einheiten in Schleswig-Holstein im Berichtsjahr 2024 nach Beschäftigtengrößenklassen (Stand: 30.09.2025)</t>
  </si>
  <si>
    <t>Niederlassungen in Schleswig-Holstein im Berichtsjahr 2024 nach Beschäftigtengrößenklassen (Stand: 30.09.2025)</t>
  </si>
  <si>
    <t>Gewerbeanzeigen in Schleswig-Holstein 2000 – 2024</t>
  </si>
  <si>
    <t>Gewerbeanzeigen in Schleswig-Holstein 2024 nach Wirtschaftszweigen</t>
  </si>
  <si>
    <t>Gewerbeanzeigen in Schleswig-Holstein 2024 nach Kreisen</t>
  </si>
  <si>
    <t>Insolvenzverfahren in Schleswig-Holstein 2001 – 2024</t>
  </si>
  <si>
    <t>Unternehmensinsolvenzen in Schleswig-Holstein 2001 – 2024 nach Wirtschaftszweigen</t>
  </si>
  <si>
    <t>Insolvenzen übriger Schuldner:innen in den Kreisen Schleswig-Holsteins 2024 nach Personengruppen</t>
  </si>
  <si>
    <t>In 2019 eröffnete und bis 31.12.2023 beendete Verbraucherinsolvenzverfahren in Schleswig-Holstein: Finanzielle Ergebnisse der Gläubiger:innen und Deckungsquoten nach Kreisen; Insolvenzverfahren insgesamt und von Verbraucher:innen</t>
  </si>
  <si>
    <t>In 2015 eröffnete und bis 31.12.2023 beendete Regel-, Nachlass- und Gesamtgutinsolvenzverfahren in Schleswig-Holstein: Finanzielle Ergebnisse der Gläubiger:innen und Deckungsquoten nach Kreisen; Insolvenzverfahren insgesamt und von Unternehmen</t>
  </si>
  <si>
    <t>In 2015 eröffnete Insolvenzverfahren natürlicher Personen mit einer Entscheidung über die Restschuldbefreiung bis 31.12.2023 in Schleswig-Holstein: Ausgewählte Entscheidungen der Insolvenzgerichte über die Restschuldbefreiung nach finanziellen Ergebnissen und Art der Schuldner:innen</t>
  </si>
  <si>
    <t>In den Volkswirtschaftlichen Gesamtrechnungen einschließlich der Erwerbstätigenrechnung werden etwa alle fünf Jahre die Berechnungen und damit die Ergebnisse in sogenannten Generalrevisionen überarbeitet. Dabei werden insbesondere neue Konzepte und Klassifikationen integriert, Berechnungsmethoden aktualisiert und neue Datenquellen berücksichtigt. Ziel dieser Revisionen ist es, die Qualität und internationale Vergleichbarkeit der Ergebnisse zu verbessern.
Im Rahmen der letzten Revision 2024 gab es keine grundlegenden konzeptionellen Änderungen, vielmehr wurden insbesondere neue Datenquellen und Berechnungsmethoden berücksichtigt. Darüber hinaus wurde diese Gelegenheit genutzt, um die gesamten VGR-Systeme umfassend zu überprüfen und – wo nötig – zu überarbeiten und neue Erkenntnisse in die Berechnungen zu integrieren. Um Brüche in den Zeitreihen zu vermeiden und weiterhin methodisch konsistente Zeitreihen zur Verfügung zu stellen, wurden die Ergebnisse bis 1991 zurück neu berechnet. Die nächste VGR-Generalrevision findet, europaweit harmonisiert, voraussichtlich 2029 statt.</t>
  </si>
  <si>
    <r>
      <t>1   Bruttoinlandsprodukt und Bruttowertschöpfung nach Wirtschaftsbereichen</t>
    </r>
    <r>
      <rPr>
        <b/>
        <vertAlign val="superscript"/>
        <sz val="12"/>
        <color rgb="FF003063"/>
        <rFont val="Arial"/>
        <family val="2"/>
      </rPr>
      <t>1</t>
    </r>
    <r>
      <rPr>
        <b/>
        <sz val="12"/>
        <color rgb="FF003063"/>
        <rFont val="Arial"/>
        <family val="2"/>
      </rPr>
      <t xml:space="preserve"> 
in jeweiligen Preisen in Schleswig-Holstein 2000 – 2024</t>
    </r>
  </si>
  <si>
    <r>
      <t>2  Bruttoinlandsprodukt und Bruttowertschöpfung nach Wirtschaftsbereichen</t>
    </r>
    <r>
      <rPr>
        <b/>
        <vertAlign val="superscript"/>
        <sz val="12"/>
        <color rgb="FF003063"/>
        <rFont val="Arial"/>
        <family val="2"/>
      </rPr>
      <t>1</t>
    </r>
    <r>
      <rPr>
        <b/>
        <sz val="12"/>
        <color rgb="FF003063"/>
        <rFont val="Arial"/>
        <family val="2"/>
      </rPr>
      <t xml:space="preserve"> (preisbereinigt, verkettet) in Schleswig-Holstein 2000 – 2024</t>
    </r>
  </si>
  <si>
    <r>
      <t>Grafik 1: Anteile der Wirtschaftsbereiche</t>
    </r>
    <r>
      <rPr>
        <b/>
        <vertAlign val="superscript"/>
        <sz val="12"/>
        <color rgb="FF003063"/>
        <rFont val="Arial"/>
        <family val="2"/>
      </rPr>
      <t>¹</t>
    </r>
    <r>
      <rPr>
        <b/>
        <sz val="12"/>
        <color rgb="FF003063"/>
        <rFont val="Arial"/>
        <family val="2"/>
      </rPr>
      <t xml:space="preserve"> an der Bruttowertschöpfung 
in jeweiligen Preisen in Schleswig-Holstein 2000 und 2024</t>
    </r>
  </si>
  <si>
    <t>Grafik 2: Bruttoinlandsprodukt (preisbereinigt, verkettet) und Erwerbstätige 
in Schleswig-Holstein 2001 – 2024 (Veränderung gegenüber Vorjahr in Prozent)</t>
  </si>
  <si>
    <r>
      <t>3   Arbeitnehmerentgelt</t>
    </r>
    <r>
      <rPr>
        <b/>
        <vertAlign val="superscript"/>
        <sz val="12"/>
        <color rgb="FF003063"/>
        <rFont val="Arial"/>
        <family val="2"/>
      </rPr>
      <t>1</t>
    </r>
    <r>
      <rPr>
        <b/>
        <sz val="12"/>
        <color rgb="FF003063"/>
        <rFont val="Arial"/>
        <family val="2"/>
      </rPr>
      <t xml:space="preserve"> in Schleswig-Holstein 2000 – 2024
nach Wirtschaftsbereichen</t>
    </r>
    <r>
      <rPr>
        <b/>
        <vertAlign val="superscript"/>
        <sz val="12"/>
        <color rgb="FF003063"/>
        <rFont val="Arial"/>
        <family val="2"/>
      </rPr>
      <t>2</t>
    </r>
  </si>
  <si>
    <t>4   Primäreinkommen und Verfügbares Einkommen der privaten Haushalte in 
Schleswig-Holstein 2000 – 2023</t>
  </si>
  <si>
    <t>6   Verwendung des Bruttoinlandsprodukts 
in jeweiligen Preisen in Schleswig-Holstein 2000 – 2023</t>
  </si>
  <si>
    <t>7   Verwendung des Bruttoinlandsprodukts 
(preisbereinigt, verkettet) in Schleswig-Holstein 2000 – 2023</t>
  </si>
  <si>
    <t>Quelle: Arbeitskreis Volkswirtschaftliche Gesamtrechnungen der Länder, Berechnungsstand Februar 2025</t>
  </si>
  <si>
    <t>je Erwerbstätigen (Inland)  Kettenindex  (2020 ≙ 100)</t>
  </si>
  <si>
    <t>Kettenindex (2020 ≙ 100)</t>
  </si>
  <si>
    <t>Quellen: Arbeitskreis Erwerbstätigenrechnung der Länder; Arbeitskreis Volkswirtschaftliche Gesamtrechnungen der Länder; 
Berechnungsstand Februar 2025</t>
  </si>
  <si>
    <t>Quelle: Arbeitskreis Volkswirtschaftliche Gesamtrechnungen der Länder; Berechnungsstand Februar 2025</t>
  </si>
  <si>
    <r>
      <t>5   Arbeitsvolumen der Erwerbstätigen und Bruttowertschöpfung je geleisteter 
Stunde in Schleswig-Holstein 2000 – 2024 nach Wirtschaftsbereichen</t>
    </r>
    <r>
      <rPr>
        <b/>
        <vertAlign val="superscript"/>
        <sz val="12"/>
        <color rgb="FF003063"/>
        <rFont val="Arial"/>
        <family val="2"/>
      </rPr>
      <t>1</t>
    </r>
  </si>
  <si>
    <t>Berichtsjahr 2024</t>
  </si>
  <si>
    <t>Quellen: Arbeitskreis Erwerbstätigenrechnung der Länder, Arbeitskreis Volkswirtschaftliche Gesamtrechnungen der Länder, 
Berechnungsstand Februar 2025</t>
  </si>
  <si>
    <t>8   Rechtliche Einheiten in Schleswig-Holstein im Berichtsjahr 2024
nach Beschäftigtengrößenklassen (Stand: 30.09.2025)</t>
  </si>
  <si>
    <r>
      <t>Wirtschaftsabschnitt</t>
    </r>
    <r>
      <rPr>
        <vertAlign val="superscript"/>
        <sz val="9"/>
        <color theme="1"/>
        <rFont val="Arial"/>
        <family val="2"/>
      </rPr>
      <t>1</t>
    </r>
  </si>
  <si>
    <r>
      <t>Rechtliche Einheiten</t>
    </r>
    <r>
      <rPr>
        <vertAlign val="superscript"/>
        <sz val="9"/>
        <color theme="1"/>
        <rFont val="Arial"/>
        <family val="2"/>
      </rPr>
      <t>2</t>
    </r>
    <r>
      <rPr>
        <sz val="9"/>
        <color theme="1"/>
        <rFont val="Arial"/>
        <family val="2"/>
      </rPr>
      <t xml:space="preserve"> insgesamt</t>
    </r>
  </si>
  <si>
    <t>Davon mit … bis … 
sozialversicherungspflichtig Beschäftigten</t>
  </si>
  <si>
    <t>0 – unter 10</t>
  </si>
  <si>
    <t>10 – unter 50</t>
  </si>
  <si>
    <t>50 - unter 250</t>
  </si>
  <si>
    <t>250 und mehr</t>
  </si>
  <si>
    <t>B</t>
  </si>
  <si>
    <t>Bergbau und Gewinnung von Steinen und Erden</t>
  </si>
  <si>
    <t>C</t>
  </si>
  <si>
    <t>Verarbeitendes Gewerbe</t>
  </si>
  <si>
    <t>D</t>
  </si>
  <si>
    <t>Energieversorgung</t>
  </si>
  <si>
    <t>E</t>
  </si>
  <si>
    <t>Wasserversorgung, Abwasser- und Abfallentsorgung und Beseitigung von Umweltverschmutzungen</t>
  </si>
  <si>
    <t>F</t>
  </si>
  <si>
    <t>G</t>
  </si>
  <si>
    <t>Handel; Instandhaltung und Reparatur von Kraftfahrzeugen</t>
  </si>
  <si>
    <t>H</t>
  </si>
  <si>
    <t>Verkehr und Lagerei</t>
  </si>
  <si>
    <t>I</t>
  </si>
  <si>
    <t>Gastgewerbe</t>
  </si>
  <si>
    <t>J</t>
  </si>
  <si>
    <t>Information und Kommunikation</t>
  </si>
  <si>
    <t>K</t>
  </si>
  <si>
    <t>Erbringung von Finanz- und Versicherungsdienstleistungen</t>
  </si>
  <si>
    <t>L</t>
  </si>
  <si>
    <t>Grundstücks- und Wohnungswesen</t>
  </si>
  <si>
    <t>M</t>
  </si>
  <si>
    <t>Erbringung von freiberuflichen, wissenschaftlichen und technischen Dienstleistungen</t>
  </si>
  <si>
    <t>N</t>
  </si>
  <si>
    <t>Erbringung von sonstigen wirtschaftlichen Dienstleistungen</t>
  </si>
  <si>
    <t>P</t>
  </si>
  <si>
    <t>Erziehung und Unterricht</t>
  </si>
  <si>
    <t>Q</t>
  </si>
  <si>
    <t>Gesundheits- und Sozialwesen</t>
  </si>
  <si>
    <t>R</t>
  </si>
  <si>
    <t>Kunst, Unterhaltung und Erholung</t>
  </si>
  <si>
    <t>S</t>
  </si>
  <si>
    <t>Erbringung von sonstigen Dienstleistungen</t>
  </si>
  <si>
    <t>Zusammen</t>
  </si>
  <si>
    <r>
      <t xml:space="preserve">1  </t>
    </r>
    <r>
      <rPr>
        <sz val="8"/>
        <color theme="1"/>
        <rFont val="Arial"/>
        <family val="2"/>
      </rPr>
      <t>Klassifikation der Wirtschaftszweige (WZ 2008)</t>
    </r>
  </si>
  <si>
    <r>
      <t>2</t>
    </r>
    <r>
      <rPr>
        <sz val="8"/>
        <color theme="1"/>
        <rFont val="Arial"/>
        <family val="2"/>
      </rPr>
      <t xml:space="preserve">  zum Stand 30.09.2025 Rechtliche Einheiten (siehe methodischer Hinweis zum Unternehmensbegriff unter Erläuterungen) mit steuerbarem Umsatz aus Lieferungen und Leistungen und/oder mit sozialversicherungspflichtig Beschäftigten im Berichtsjahr 2024</t>
    </r>
  </si>
  <si>
    <t>9  Niederlassungen in Schleswig-Holstein im Berichtsjahr 2024
nach Beschäftigtengrößenklassen (Stand: 30.09.2025)</t>
  </si>
  <si>
    <r>
      <t>Wirtschaftsabschnitt</t>
    </r>
    <r>
      <rPr>
        <vertAlign val="superscript"/>
        <sz val="9"/>
        <rFont val="Arial"/>
        <family val="2"/>
      </rPr>
      <t>1</t>
    </r>
  </si>
  <si>
    <r>
      <t>Niederlassungen</t>
    </r>
    <r>
      <rPr>
        <vertAlign val="superscript"/>
        <sz val="9"/>
        <rFont val="Arial"/>
        <family val="2"/>
      </rPr>
      <t xml:space="preserve">2 </t>
    </r>
    <r>
      <rPr>
        <sz val="9"/>
        <rFont val="Arial"/>
        <family val="2"/>
      </rPr>
      <t>insgesamt</t>
    </r>
  </si>
  <si>
    <r>
      <t>1</t>
    </r>
    <r>
      <rPr>
        <sz val="8"/>
        <rFont val="Arial"/>
        <family val="2"/>
      </rPr>
      <t xml:space="preserve">  Klassifikation der Wirtschaftszweige (WZ 2008)</t>
    </r>
  </si>
  <si>
    <r>
      <t>2</t>
    </r>
    <r>
      <rPr>
        <sz val="8"/>
        <rFont val="Arial"/>
        <family val="2"/>
      </rPr>
      <t xml:space="preserve">  zum Stand 30.09.2025 Niederlassungen mit Sitz in Deutschland, in denen 2024 Beschäftigte tätig waren oder für die gilt, dass sie den einzigen Standort einer Rechtlichen Einheit (siehe methodischer Hinweis zum Unternehmensbegriff unter Erläuterungen) mit Umsatzsteuervoranmeldungen 2024 bildeten. </t>
    </r>
  </si>
  <si>
    <t xml:space="preserve">10   Unternehmensdemografie in Schleswig-Holstein im Berichtsjahr 2023 
nach Beschäftigtengrößenklasse und Wirtschaftsabschnitten </t>
  </si>
  <si>
    <t>Kreise und kreisfreie Städte, Schleswig-Holstein</t>
  </si>
  <si>
    <r>
      <t>Unternehmen</t>
    </r>
    <r>
      <rPr>
        <vertAlign val="superscript"/>
        <sz val="9"/>
        <rFont val="Arial"/>
        <family val="2"/>
      </rPr>
      <t>2</t>
    </r>
    <r>
      <rPr>
        <sz val="9"/>
        <rFont val="Arial"/>
        <family val="2"/>
      </rPr>
      <t xml:space="preserve"> insgesamt</t>
    </r>
  </si>
  <si>
    <r>
      <t>Davon mit … bis … 
abhängigen Beschäftigten</t>
    </r>
    <r>
      <rPr>
        <vertAlign val="superscript"/>
        <sz val="9"/>
        <color theme="1"/>
        <rFont val="Arial"/>
        <family val="2"/>
      </rPr>
      <t>3</t>
    </r>
  </si>
  <si>
    <t>keine</t>
  </si>
  <si>
    <t>1-9</t>
  </si>
  <si>
    <t>10 und mehr</t>
  </si>
  <si>
    <t>Unternehmensgründungen</t>
  </si>
  <si>
    <t>Unternehmensschließungen</t>
  </si>
  <si>
    <t>Überlebende Unternehmen aus t-3</t>
  </si>
  <si>
    <t>Flensburg, kreisfreie Stadt</t>
  </si>
  <si>
    <t>Kiel, kreisfreie Stadt</t>
  </si>
  <si>
    <t>Lübeck, kreisfreie Stadt, Hansestadt</t>
  </si>
  <si>
    <t>Neumünster, kreisfreie Stadt</t>
  </si>
  <si>
    <t>Dithmarschen, Kreis</t>
  </si>
  <si>
    <t>Herzogtum Lauenburg, Kreis</t>
  </si>
  <si>
    <t>Nordfriesland, Kreis</t>
  </si>
  <si>
    <t>Ostholstein, Kreis</t>
  </si>
  <si>
    <t>Pinneberg, Kreis</t>
  </si>
  <si>
    <t>Plön, Kreis</t>
  </si>
  <si>
    <t>Rendsburg-Eckernförde, Kreis</t>
  </si>
  <si>
    <t>Schleswig-Flensburg, Kreis</t>
  </si>
  <si>
    <t>Segeberg, Kreis</t>
  </si>
  <si>
    <t>Steinburg, Kreis</t>
  </si>
  <si>
    <t>Stormarn, Kreis</t>
  </si>
  <si>
    <r>
      <t xml:space="preserve">2  </t>
    </r>
    <r>
      <rPr>
        <sz val="8"/>
        <rFont val="Arial"/>
        <family val="2"/>
      </rPr>
      <t>In Schleswig-Holstein ansässige Unternehmen, die am Markt aktiv sind und zu den Wirtschaftsbereichen B-N und P-S gehören. Ein Unternehmen ist die kleinste Kombination rechtlicher Einheiten, die eine organisatorische Einheit zur Erzeugung von Waren und Dienstleistungen bildet. Daten bezogen auf Unternehmensschließungen des jeweils aktuellen Berichtsjahres sind vorläufig.</t>
    </r>
  </si>
  <si>
    <r>
      <t xml:space="preserve">3 </t>
    </r>
    <r>
      <rPr>
        <sz val="8"/>
        <rFont val="Arial"/>
        <family val="2"/>
      </rPr>
      <t>Die abhängig Beschäftigten umfassen die sozialversicherungspflichtig Beschäftigten sowie die ausschließlich geringfügig entlohnt Beschäftigten.</t>
    </r>
  </si>
  <si>
    <r>
      <t>Unternehmen Insgesamt</t>
    </r>
    <r>
      <rPr>
        <vertAlign val="superscript"/>
        <sz val="9"/>
        <rFont val="Arial"/>
        <family val="2"/>
      </rPr>
      <t>2</t>
    </r>
  </si>
  <si>
    <r>
      <t>Gründungsrate</t>
    </r>
    <r>
      <rPr>
        <vertAlign val="superscript"/>
        <sz val="9"/>
        <rFont val="Arial"/>
        <family val="2"/>
      </rPr>
      <t>3</t>
    </r>
    <r>
      <rPr>
        <sz val="9"/>
        <rFont val="Arial"/>
        <family val="2"/>
      </rPr>
      <t xml:space="preserve"> in Prozent</t>
    </r>
  </si>
  <si>
    <t>Schließungsrate in Prozent</t>
  </si>
  <si>
    <t>Gründungsrate in Prozent</t>
  </si>
  <si>
    <t>Produzierendes Gewerbe ohne Baugewerbe (B-E)</t>
  </si>
  <si>
    <t>Baugewerbe (F)</t>
  </si>
  <si>
    <t>Handel; Instandhaltung und Reparatur von Kraftfahrzeugen (G)</t>
  </si>
  <si>
    <t>Verkehr und Lagerei (H)</t>
  </si>
  <si>
    <t>.</t>
  </si>
  <si>
    <t>Gastgewerbe (I)</t>
  </si>
  <si>
    <t>Information und Kommunikation (J)</t>
  </si>
  <si>
    <t>Erbringung von Finanz- und Versicherungsdienstleistungen; Grundstücks- und Wohnungswesen (K-L)</t>
  </si>
  <si>
    <t>Erbringung von Unternehmensdienstleistungen (M-N)</t>
  </si>
  <si>
    <t>Erziehung, Unterricht; Gesundheits- und Sozialwesen (P - Q)</t>
  </si>
  <si>
    <t xml:space="preserve">Kunst, Unterhaltung, Erholung; Erbringung von sonstigen Dienstleistungen (R, S95, S96) </t>
  </si>
  <si>
    <r>
      <rPr>
        <vertAlign val="superscript"/>
        <sz val="8"/>
        <rFont val="Arial"/>
        <family val="2"/>
      </rPr>
      <t>3</t>
    </r>
    <r>
      <rPr>
        <sz val="8"/>
        <rFont val="Arial"/>
        <family val="2"/>
      </rPr>
      <t xml:space="preserve"> Anteil neu gegründeter bzw. geschlossener Unternehmen an allen Unternehmen</t>
    </r>
  </si>
  <si>
    <t>VGR-Generalrevision 2024</t>
  </si>
  <si>
    <r>
      <t>11   Gewerbeanzeigen</t>
    </r>
    <r>
      <rPr>
        <b/>
        <vertAlign val="superscript"/>
        <sz val="12"/>
        <color rgb="FF003063"/>
        <rFont val="Arial"/>
        <family val="2"/>
      </rPr>
      <t>1</t>
    </r>
    <r>
      <rPr>
        <b/>
        <sz val="12"/>
        <color rgb="FF003063"/>
        <rFont val="Arial"/>
        <family val="2"/>
      </rPr>
      <t xml:space="preserve"> in Schleswig-Holstein 2000 – 2024</t>
    </r>
  </si>
  <si>
    <t>Gewerbeanmeldungen</t>
  </si>
  <si>
    <t>Gewerbeabmeldungen</t>
  </si>
  <si>
    <r>
      <t>Neuerrichtungen</t>
    </r>
    <r>
      <rPr>
        <vertAlign val="superscript"/>
        <sz val="9"/>
        <rFont val="Arial"/>
        <family val="2"/>
      </rPr>
      <t>2</t>
    </r>
  </si>
  <si>
    <t>Zuzüge</t>
  </si>
  <si>
    <r>
      <t>Sonstige Anmeldungen</t>
    </r>
    <r>
      <rPr>
        <vertAlign val="superscript"/>
        <sz val="9"/>
        <rFont val="Arial"/>
        <family val="2"/>
      </rPr>
      <t>3</t>
    </r>
  </si>
  <si>
    <r>
      <t>Aufgaben</t>
    </r>
    <r>
      <rPr>
        <vertAlign val="superscript"/>
        <sz val="9"/>
        <rFont val="Arial"/>
        <family val="2"/>
      </rPr>
      <t>2</t>
    </r>
  </si>
  <si>
    <t>Fortzüge</t>
  </si>
  <si>
    <r>
      <t>Sonstige Abmeldungen</t>
    </r>
    <r>
      <rPr>
        <vertAlign val="superscript"/>
        <sz val="9"/>
        <rFont val="Arial"/>
        <family val="2"/>
      </rPr>
      <t>4</t>
    </r>
  </si>
  <si>
    <r>
      <t>2023</t>
    </r>
    <r>
      <rPr>
        <vertAlign val="superscript"/>
        <sz val="9"/>
        <rFont val="Arial"/>
        <family val="2"/>
      </rPr>
      <t>a</t>
    </r>
  </si>
  <si>
    <r>
      <t>1</t>
    </r>
    <r>
      <rPr>
        <sz val="8"/>
        <rFont val="Arial"/>
        <family val="2"/>
      </rPr>
      <t xml:space="preserve">  ohne Reise- und Automatenaufstellgewerbe sowie GmbH und UG in Gründung</t>
    </r>
  </si>
  <si>
    <r>
      <t>2</t>
    </r>
    <r>
      <rPr>
        <sz val="8"/>
        <rFont val="Arial"/>
        <family val="2"/>
      </rPr>
      <t xml:space="preserve">  Neugründungen bzw. vollständige Aufgaben oder Umwandlungen von Gewerben</t>
    </r>
  </si>
  <si>
    <r>
      <t xml:space="preserve">3   </t>
    </r>
    <r>
      <rPr>
        <sz val="8"/>
        <rFont val="Arial"/>
        <family val="2"/>
      </rPr>
      <t>Übernahmen von bestehenden Gewerben (Kauf, Pacht, Erbe, Änderung der Rechtsform, Eintritt Gesellschafter:in)</t>
    </r>
  </si>
  <si>
    <r>
      <t>4</t>
    </r>
    <r>
      <rPr>
        <sz val="8"/>
        <rFont val="Arial"/>
        <family val="2"/>
      </rPr>
      <t xml:space="preserve">  Übergaben von bestehenden Gewerben (Verkauf, Verpachtung, Erbfolge, Änderung der Rechtsform, Austritt Gesellschafter:in)</t>
    </r>
  </si>
  <si>
    <r>
      <t xml:space="preserve">a   </t>
    </r>
    <r>
      <rPr>
        <sz val="8"/>
        <rFont val="Arial"/>
        <family val="2"/>
      </rPr>
      <t>Leichte Untererfassung der Gewerbean- und -abmeldungen aufgrund Softwareumstellung in den Gewerbeämtern</t>
    </r>
    <r>
      <rPr>
        <vertAlign val="superscript"/>
        <sz val="8"/>
        <rFont val="Arial"/>
        <family val="2"/>
      </rPr>
      <t xml:space="preserve"> </t>
    </r>
    <r>
      <rPr>
        <sz val="8"/>
        <rFont val="Arial"/>
        <family val="2"/>
      </rPr>
      <t>im 4. Quartal 2023</t>
    </r>
  </si>
  <si>
    <r>
      <t>Grafik 3: Gewerbeanzeigen</t>
    </r>
    <r>
      <rPr>
        <b/>
        <vertAlign val="superscript"/>
        <sz val="12"/>
        <color rgb="FF003063"/>
        <rFont val="Arial"/>
        <family val="2"/>
      </rPr>
      <t>¹</t>
    </r>
    <r>
      <rPr>
        <b/>
        <sz val="12"/>
        <color rgb="FF003063"/>
        <rFont val="Arial"/>
        <family val="2"/>
      </rPr>
      <t xml:space="preserve"> in Schleswig-Holstein 2000 – 2024</t>
    </r>
  </si>
  <si>
    <t>Neuerrichtungen²</t>
  </si>
  <si>
    <t>Sonstige Anmeldungen³</t>
  </si>
  <si>
    <t>Aufgaben²</t>
  </si>
  <si>
    <t>Sonstige Abmeldungen⁴</t>
  </si>
  <si>
    <r>
      <t xml:space="preserve">a  </t>
    </r>
    <r>
      <rPr>
        <sz val="8"/>
        <rFont val="Arial"/>
        <family val="2"/>
      </rPr>
      <t xml:space="preserve"> Leichte Untererfassung der Gewerbean- und -abmeldungen aufgrund Softwareumstellung in den Gewerbeämtern</t>
    </r>
    <r>
      <rPr>
        <vertAlign val="superscript"/>
        <sz val="8"/>
        <rFont val="Arial"/>
        <family val="2"/>
      </rPr>
      <t xml:space="preserve"> </t>
    </r>
    <r>
      <rPr>
        <sz val="8"/>
        <rFont val="Arial"/>
        <family val="2"/>
      </rPr>
      <t>im 4. Quartal 2023</t>
    </r>
  </si>
  <si>
    <r>
      <t>12   Gewerbeanzeigen</t>
    </r>
    <r>
      <rPr>
        <b/>
        <vertAlign val="superscript"/>
        <sz val="12"/>
        <color rgb="FF003063"/>
        <rFont val="Arial"/>
        <family val="2"/>
      </rPr>
      <t>1</t>
    </r>
    <r>
      <rPr>
        <b/>
        <sz val="12"/>
        <color rgb="FF003063"/>
        <rFont val="Arial"/>
        <family val="2"/>
      </rPr>
      <t xml:space="preserve"> in Schleswig-Holstein 2024</t>
    </r>
    <r>
      <rPr>
        <b/>
        <vertAlign val="superscript"/>
        <sz val="12"/>
        <color rgb="FF003063"/>
        <rFont val="Arial"/>
        <family val="2"/>
      </rPr>
      <t>a</t>
    </r>
    <r>
      <rPr>
        <b/>
        <sz val="12"/>
        <color rgb="FF003063"/>
        <rFont val="Arial"/>
        <family val="2"/>
      </rPr>
      <t xml:space="preserve"> nach Wirtschaftszweigen</t>
    </r>
  </si>
  <si>
    <t>WZ 
2008</t>
  </si>
  <si>
    <t>Bezeichnung</t>
  </si>
  <si>
    <r>
      <t>darunter 
Neuerrichtungen</t>
    </r>
    <r>
      <rPr>
        <vertAlign val="superscript"/>
        <sz val="9"/>
        <rFont val="Arial"/>
        <family val="2"/>
      </rPr>
      <t>2</t>
    </r>
  </si>
  <si>
    <r>
      <t>darunter Aufgaben</t>
    </r>
    <r>
      <rPr>
        <vertAlign val="superscript"/>
        <sz val="9"/>
        <rFont val="Arial"/>
        <family val="2"/>
      </rPr>
      <t>3</t>
    </r>
  </si>
  <si>
    <t>Anzahl</t>
  </si>
  <si>
    <t>Veränderung gegenüber 
Vorjahr in %</t>
  </si>
  <si>
    <t>A</t>
  </si>
  <si>
    <t>Land-  und Forstwirtschaft, Fischerei</t>
  </si>
  <si>
    <t>Herstellung von Nahrungs- und Futtermitteln</t>
  </si>
  <si>
    <t>Herstellung von Getränken</t>
  </si>
  <si>
    <t>Herstellung von Textilien</t>
  </si>
  <si>
    <t>Herstellung von Bekleidung</t>
  </si>
  <si>
    <t>Herstellung von Leder, Lederwaren und Schuhen</t>
  </si>
  <si>
    <t>Herstellung von Holz -, Flecht-, Korb- und Korkwaren (ohne Möbel)</t>
  </si>
  <si>
    <t>Herstellung von Druckerzeugnissen; Vervielfältigung von bespielten Ton- , Bild-  und Datenträgern</t>
  </si>
  <si>
    <t>Herstellung von chemischen Erzeugnissen</t>
  </si>
  <si>
    <t>Herstellung von Glas/Glaswaren, Keramik, Verarbeitung von Steinen/Erden</t>
  </si>
  <si>
    <t>Herstellung von Metallerzeugnissen</t>
  </si>
  <si>
    <t>Herstellung von DV- Geräten, elektronischen und optischen Erzeugnissen</t>
  </si>
  <si>
    <t>Herstellung von elektrischen Ausrüstungen</t>
  </si>
  <si>
    <t>Maschinenbau</t>
  </si>
  <si>
    <t>Sonstiger Fahrzeugbau (ohne Kfz)</t>
  </si>
  <si>
    <t>Herstellung von sonstigen Waren</t>
  </si>
  <si>
    <t>Reparatur und Installation von Maschinen und Ausrüstungen</t>
  </si>
  <si>
    <t xml:space="preserve">Wasserversorgung; Abwasser- und Abfallentsorgung und Beseitigung von Umweltverschmutzungen </t>
  </si>
  <si>
    <t>Sammlung, Behandlung/Beseitigung von Abfällen, Rückgewinnung</t>
  </si>
  <si>
    <t>Hochbau</t>
  </si>
  <si>
    <t>Tiefbau</t>
  </si>
  <si>
    <t>Vorbereitende Baustellenarbeiten, Bauinstallation und sonstige Ausbaugewerbe</t>
  </si>
  <si>
    <t xml:space="preserve">Handel; Instandhaltung und Reparatur von Kraftfahrzeugen </t>
  </si>
  <si>
    <t>Handel mit Kfz; Instandhaltung und Reparatur von Kfz</t>
  </si>
  <si>
    <t>Großhandel (ohne Handel mit Kraftfahrzeugen)</t>
  </si>
  <si>
    <t>Einzelhandel (ohne Handel mit Kraftfahrzeugen)</t>
  </si>
  <si>
    <t>Beherbergung</t>
  </si>
  <si>
    <t>Gastronomie</t>
  </si>
  <si>
    <t>Verlagswesen</t>
  </si>
  <si>
    <t>Herstellung, Verleih und Vertrieb von Filmen und Fernseh­programmen; Kinos; Tonstudios und Verlegen von Musik</t>
  </si>
  <si>
    <t>Telekommunikation</t>
  </si>
  <si>
    <t>Erbringung von Dienstleistungen der Informationstechnologie</t>
  </si>
  <si>
    <t>Informationsdienstleistungen</t>
  </si>
  <si>
    <t>Mit Finanz- und Versicherungsdienstleistungen verbundene Tätigkeiten</t>
  </si>
  <si>
    <t>Verwaltung und Führung von Unternehmen und Betrieben; Unternehmensberatung</t>
  </si>
  <si>
    <t>Architektur- und Ingenieur-Büros; technische, physikalische und chemische Untersuchung</t>
  </si>
  <si>
    <t>Werbung und Marktforschung</t>
  </si>
  <si>
    <t>Vermietung beweglicher Sachen</t>
  </si>
  <si>
    <t>Vermittlung und Überlassung von Arbeitskräften</t>
  </si>
  <si>
    <t>Reisebüros, -veranstalter und sonstige Reservierungsdienstleistungen</t>
  </si>
  <si>
    <t>Gebäudebetreuung; Garten- und Landschaftsbau</t>
  </si>
  <si>
    <t>O</t>
  </si>
  <si>
    <t>Öffentliche Verwaltung, Verteidigung; Sozialversicherung</t>
  </si>
  <si>
    <t>Kunst, Unterhaltung, Erholung</t>
  </si>
  <si>
    <t>Reparatur von DV-Geräten und Gebrauchsgütern</t>
  </si>
  <si>
    <t>A - S</t>
  </si>
  <si>
    <t>ingesamt</t>
  </si>
  <si>
    <r>
      <rPr>
        <vertAlign val="superscript"/>
        <sz val="8"/>
        <rFont val="Arial"/>
        <family val="2"/>
      </rPr>
      <t xml:space="preserve">2 </t>
    </r>
    <r>
      <rPr>
        <sz val="8"/>
        <rFont val="Arial"/>
        <family val="2"/>
      </rPr>
      <t xml:space="preserve"> Neugründungen oder Umwandlungen von Gewerben</t>
    </r>
  </si>
  <si>
    <r>
      <t xml:space="preserve">3  </t>
    </r>
    <r>
      <rPr>
        <sz val="8"/>
        <rFont val="Arial"/>
        <family val="2"/>
      </rPr>
      <t>vollständige Aufgaben oder Umwandlungen von Gewerben</t>
    </r>
  </si>
  <si>
    <r>
      <t>13   Gewerbeanzeigen</t>
    </r>
    <r>
      <rPr>
        <b/>
        <vertAlign val="superscript"/>
        <sz val="12"/>
        <color rgb="FF003063"/>
        <rFont val="Arial"/>
        <family val="2"/>
      </rPr>
      <t>1</t>
    </r>
    <r>
      <rPr>
        <b/>
        <sz val="12"/>
        <color rgb="FF003063"/>
        <rFont val="Arial"/>
        <family val="2"/>
      </rPr>
      <t xml:space="preserve"> in Schleswig-Holstein 2024 nach Kreisen</t>
    </r>
  </si>
  <si>
    <t>KREISFREIE STADT 
Kreis</t>
  </si>
  <si>
    <r>
      <t>darunter Neuerrichtungen</t>
    </r>
    <r>
      <rPr>
        <vertAlign val="superscript"/>
        <sz val="9"/>
        <color theme="1"/>
        <rFont val="Arial"/>
        <family val="2"/>
      </rPr>
      <t>2</t>
    </r>
  </si>
  <si>
    <r>
      <t>darunter Aufgaben</t>
    </r>
    <r>
      <rPr>
        <vertAlign val="superscript"/>
        <sz val="9"/>
        <color theme="1"/>
        <rFont val="Arial"/>
        <family val="2"/>
      </rPr>
      <t>2</t>
    </r>
  </si>
  <si>
    <r>
      <t>je 1 000 Einwohner:innen</t>
    </r>
    <r>
      <rPr>
        <vertAlign val="superscript"/>
        <sz val="9"/>
        <color theme="1"/>
        <rFont val="Arial"/>
        <family val="2"/>
      </rPr>
      <t>3</t>
    </r>
  </si>
  <si>
    <t>FLENSBURG</t>
  </si>
  <si>
    <t>KIEL</t>
  </si>
  <si>
    <t>LÜBECK</t>
  </si>
  <si>
    <t>NEUMÜNSTER</t>
  </si>
  <si>
    <t>Dithmarschen</t>
  </si>
  <si>
    <t>Herzogtum Lauenburg</t>
  </si>
  <si>
    <t>Nordfriesland</t>
  </si>
  <si>
    <t>Ostholstein</t>
  </si>
  <si>
    <t>Pinneberg</t>
  </si>
  <si>
    <t>Plön</t>
  </si>
  <si>
    <t>Rendsburg-Eckernförde</t>
  </si>
  <si>
    <t>Schleswig-Flensburg</t>
  </si>
  <si>
    <t>Segeberg</t>
  </si>
  <si>
    <t>Steinburg</t>
  </si>
  <si>
    <t>Stormarn</t>
  </si>
  <si>
    <r>
      <rPr>
        <vertAlign val="superscript"/>
        <sz val="8"/>
        <rFont val="Arial"/>
        <family val="2"/>
      </rPr>
      <t xml:space="preserve">2 </t>
    </r>
    <r>
      <rPr>
        <sz val="8"/>
        <rFont val="Arial"/>
        <family val="2"/>
      </rPr>
      <t xml:space="preserve"> Neugründungen bzw. vollständige Aufgaben oder Umwandlungen von Gewerben</t>
    </r>
  </si>
  <si>
    <r>
      <rPr>
        <vertAlign val="superscript"/>
        <sz val="8"/>
        <rFont val="Arial"/>
        <family val="2"/>
      </rPr>
      <t>3</t>
    </r>
    <r>
      <rPr>
        <sz val="8"/>
        <rFont val="Arial"/>
        <family val="2"/>
      </rPr>
      <t xml:space="preserve">  Bevölkerungsstand am 31.12.2024</t>
    </r>
  </si>
  <si>
    <t>14   Insolvenzverfahren in Schleswig-Holstein 2001 – 2024</t>
  </si>
  <si>
    <t>Davon</t>
  </si>
  <si>
    <t>Darunter</t>
  </si>
  <si>
    <t>eröffnet</t>
  </si>
  <si>
    <t>mangels Masse abgewiesen</t>
  </si>
  <si>
    <t>Schuldenbereinigungs-plan angenommen</t>
  </si>
  <si>
    <r>
      <t>von 
Unternehmen</t>
    </r>
    <r>
      <rPr>
        <vertAlign val="superscript"/>
        <sz val="9"/>
        <color theme="1"/>
        <rFont val="Arial"/>
        <family val="2"/>
      </rPr>
      <t>1</t>
    </r>
  </si>
  <si>
    <t>von 
Verbraucher:innen</t>
  </si>
  <si>
    <r>
      <t>1</t>
    </r>
    <r>
      <rPr>
        <sz val="8"/>
        <color theme="1"/>
        <rFont val="Arial"/>
        <family val="2"/>
      </rPr>
      <t xml:space="preserve">  einschließlich Einzelunternehmen</t>
    </r>
  </si>
  <si>
    <t>Quelle: Statistik über beantragte Insolvenzverfahren</t>
  </si>
  <si>
    <t>Grafik 4: Insolvenzverfahren in Schleswig-Holstein 2001 – 2024</t>
  </si>
  <si>
    <t>Darunter Verbraucher:innen</t>
  </si>
  <si>
    <t>Verbraucher:innen</t>
  </si>
  <si>
    <r>
      <t>15   Unternehmensinsolvenzen</t>
    </r>
    <r>
      <rPr>
        <b/>
        <vertAlign val="superscript"/>
        <sz val="12"/>
        <color rgb="FF003063"/>
        <rFont val="Arial"/>
        <family val="2"/>
      </rPr>
      <t>1</t>
    </r>
    <r>
      <rPr>
        <b/>
        <sz val="12"/>
        <color rgb="FF003063"/>
        <rFont val="Arial"/>
        <family val="2"/>
      </rPr>
      <t xml:space="preserve"> in Schleswig-Holstein 2001 – 2024 nach Wirtschaftszweigen</t>
    </r>
  </si>
  <si>
    <t>Wirtschaftszweig</t>
  </si>
  <si>
    <r>
      <t>Großhandel</t>
    </r>
    <r>
      <rPr>
        <vertAlign val="superscript"/>
        <sz val="9"/>
        <color rgb="FF000000"/>
        <rFont val="Arial"/>
        <family val="2"/>
      </rPr>
      <t>2</t>
    </r>
  </si>
  <si>
    <r>
      <t>Einzelhandel</t>
    </r>
    <r>
      <rPr>
        <vertAlign val="superscript"/>
        <sz val="9"/>
        <color rgb="FF000000"/>
        <rFont val="Arial"/>
        <family val="2"/>
      </rPr>
      <t>2</t>
    </r>
  </si>
  <si>
    <r>
      <t>Grundstücks- und Wohnungswesen</t>
    </r>
    <r>
      <rPr>
        <vertAlign val="superscript"/>
        <sz val="9"/>
        <color rgb="FF000000"/>
        <rFont val="Arial"/>
        <family val="2"/>
      </rPr>
      <t>3</t>
    </r>
  </si>
  <si>
    <r>
      <t>Sonstige Dienstleistungen</t>
    </r>
    <r>
      <rPr>
        <vertAlign val="superscript"/>
        <sz val="9"/>
        <color rgb="FF000000"/>
        <rFont val="Arial"/>
        <family val="2"/>
      </rPr>
      <t>4</t>
    </r>
  </si>
  <si>
    <t>Übrige</t>
  </si>
  <si>
    <r>
      <t>2</t>
    </r>
    <r>
      <rPr>
        <sz val="8"/>
        <color theme="1"/>
        <rFont val="Arial"/>
        <family val="2"/>
      </rPr>
      <t xml:space="preserve">  ohne Kfz-Handel</t>
    </r>
  </si>
  <si>
    <r>
      <t>3</t>
    </r>
    <r>
      <rPr>
        <sz val="8"/>
        <color theme="1"/>
        <rFont val="Arial"/>
        <family val="2"/>
      </rPr>
      <t xml:space="preserve">  einschließlich freiberufliche, wissenschaftliche und technische Dienstleistungen sowie sonstige wirtschaftliche Dienstleistungen</t>
    </r>
  </si>
  <si>
    <r>
      <t>4</t>
    </r>
    <r>
      <rPr>
        <sz val="8"/>
        <color theme="1"/>
        <rFont val="Arial"/>
        <family val="2"/>
      </rPr>
      <t xml:space="preserve">  einschließlich Kunst, Unterhaltung und Erholung</t>
    </r>
  </si>
  <si>
    <t>16   Insolvenzen übriger Schuldner:innen in den Kreisen Schleswig-Holsteins 2024 nach Personengruppen</t>
  </si>
  <si>
    <t>Insolvenzen übriger Schuldner:innen insgesamt</t>
  </si>
  <si>
    <t>Natürliche Personen als Gesellschafter:
innen und Ähnliche</t>
  </si>
  <si>
    <t>Ehemals selbstständig Tätige</t>
  </si>
  <si>
    <t>Nachlässe und Gesamtgut</t>
  </si>
  <si>
    <t>mit Regel-insolvenzverfahren</t>
  </si>
  <si>
    <t>mit vereinfachtem Verfahren</t>
  </si>
  <si>
    <t xml:space="preserve">Schleswig-Holstein </t>
  </si>
  <si>
    <t>darunter Schuldner:innen mit Wohnsitz außerhalb</t>
  </si>
  <si>
    <t>Schleswig-Holsteins oder unbekannt</t>
  </si>
  <si>
    <t>KREISFREIE STÄDTE</t>
  </si>
  <si>
    <t>Kreise</t>
  </si>
  <si>
    <t>Eröffnete Insolvenzverfahren</t>
  </si>
  <si>
    <t>Befriedigte 
Absonderungsrechte</t>
  </si>
  <si>
    <t>Quotenberechtigte Forderungen</t>
  </si>
  <si>
    <t>Zur Verteilung
verfügbarer Betrag</t>
  </si>
  <si>
    <t>Deckungsquote</t>
  </si>
  <si>
    <t>darunter beendete Verfahren</t>
  </si>
  <si>
    <t>%</t>
  </si>
  <si>
    <t>1 000 Euro</t>
  </si>
  <si>
    <t xml:space="preserve">darunter außerhalb Schleswig-Holsteins oder unbekannt                                                                                                                                                                </t>
  </si>
  <si>
    <t xml:space="preserve">Dithmarschen   </t>
  </si>
  <si>
    <t xml:space="preserve">Herzogtum Lauenburg     </t>
  </si>
  <si>
    <t xml:space="preserve">Nordfriesland       </t>
  </si>
  <si>
    <t xml:space="preserve">Pinneberg  </t>
  </si>
  <si>
    <t xml:space="preserve">Plön    </t>
  </si>
  <si>
    <t xml:space="preserve">Rendsburg-Eckernförde  </t>
  </si>
  <si>
    <t xml:space="preserve">Schleswig-Flensburg  </t>
  </si>
  <si>
    <t xml:space="preserve">Segeberg   </t>
  </si>
  <si>
    <t xml:space="preserve">Steinburg      </t>
  </si>
  <si>
    <t xml:space="preserve">Stormarn  </t>
  </si>
  <si>
    <t>darunter Verbraucher:innen</t>
  </si>
  <si>
    <t xml:space="preserve">Insgesamt                       </t>
  </si>
  <si>
    <t xml:space="preserve">Nordfriesland </t>
  </si>
  <si>
    <t xml:space="preserve">Schleswig-Flensburg                      </t>
  </si>
  <si>
    <t xml:space="preserve">Steinburg </t>
  </si>
  <si>
    <t xml:space="preserve">Stormarn </t>
  </si>
  <si>
    <t>Befriedigte Absonderungsrechte</t>
  </si>
  <si>
    <t>Zur Verteilung verfügbarer Betrag</t>
  </si>
  <si>
    <r>
      <t>Verluste</t>
    </r>
    <r>
      <rPr>
        <vertAlign val="superscript"/>
        <sz val="9"/>
        <rFont val="Arial"/>
        <family val="2"/>
      </rPr>
      <t>3</t>
    </r>
  </si>
  <si>
    <r>
      <t>im engeren Sinne</t>
    </r>
    <r>
      <rPr>
        <vertAlign val="superscript"/>
        <sz val="9"/>
        <rFont val="Arial"/>
        <family val="2"/>
      </rPr>
      <t>1</t>
    </r>
  </si>
  <si>
    <r>
      <t>im weiteren Sinne</t>
    </r>
    <r>
      <rPr>
        <vertAlign val="superscript"/>
        <sz val="9"/>
        <rFont val="Arial"/>
        <family val="2"/>
      </rPr>
      <t>2</t>
    </r>
  </si>
  <si>
    <r>
      <t>Insgesamt</t>
    </r>
    <r>
      <rPr>
        <b/>
        <vertAlign val="superscript"/>
        <sz val="9"/>
        <rFont val="Arial"/>
        <family val="2"/>
      </rPr>
      <t>4</t>
    </r>
  </si>
  <si>
    <t>darunter Unternehmen</t>
  </si>
  <si>
    <r>
      <t>1</t>
    </r>
    <r>
      <rPr>
        <sz val="8"/>
        <rFont val="Arial"/>
        <family val="2"/>
      </rPr>
      <t xml:space="preserve">  Anteil des zur Verteilung verfügbaren Betrages an den quotenberechtigten Forderungen</t>
    </r>
  </si>
  <si>
    <r>
      <t>2</t>
    </r>
    <r>
      <rPr>
        <sz val="8"/>
        <rFont val="Arial"/>
        <family val="2"/>
      </rPr>
      <t xml:space="preserve">  Anteil der Summe aus den befriedigten Absonderungsrechten und dem zur Verteilung verfügbaren Betrag an den Forderungen. Die Forderungen entsprechen der Summe aus quotenberechtigten Forderungen 
   und den befriedigten Absonderungsrechten. Nicht befriedigte Absonderungsrechte sind in den quotenberechtigten Forderungen enthalten.</t>
    </r>
  </si>
  <si>
    <r>
      <t>3</t>
    </r>
    <r>
      <rPr>
        <sz val="8"/>
        <rFont val="Arial"/>
        <family val="2"/>
      </rPr>
      <t xml:space="preserve">  Differenz zwischen den quotenberechtigten Forderungen und dem zur Verteilung verfügbaren Betrag</t>
    </r>
  </si>
  <si>
    <r>
      <t>4</t>
    </r>
    <r>
      <rPr>
        <sz val="8"/>
        <rFont val="Arial"/>
        <family val="2"/>
      </rPr>
      <t xml:space="preserve">  einschließlich natürliche Personen als Gesellschafter:innen u. Ä., ehemals selbstständig Tätige mit Regelinsolvenzverfahren sowie Nachlässe und Gesamtgut</t>
    </r>
  </si>
  <si>
    <r>
      <t>19   In 2016 eröffnete Insolvenzverfahren natürlicher Personen</t>
    </r>
    <r>
      <rPr>
        <b/>
        <vertAlign val="superscript"/>
        <sz val="12"/>
        <color rgb="FF003063"/>
        <rFont val="Arial"/>
        <family val="2"/>
      </rPr>
      <t>1</t>
    </r>
    <r>
      <rPr>
        <b/>
        <sz val="12"/>
        <color rgb="FF003063"/>
        <rFont val="Arial"/>
        <family val="2"/>
      </rPr>
      <t xml:space="preserve"> mit einer Entscheidung über die Restschuldbefreiung 
bis 31.12.2023 in Schleswig-Holstein: Ausgewählte Entscheidungen der Insolvenzgerichte über die Restschuldbefreiung nach finanziellen Ergebnissen und Art der Schuldner:innen</t>
    </r>
  </si>
  <si>
    <r>
      <t>Insgesamt
Höhe der Forderungen</t>
    </r>
    <r>
      <rPr>
        <vertAlign val="superscript"/>
        <sz val="9"/>
        <rFont val="Arial"/>
        <family val="2"/>
      </rPr>
      <t>2</t>
    </r>
    <r>
      <rPr>
        <sz val="9"/>
        <rFont val="Arial"/>
        <family val="2"/>
      </rPr>
      <t xml:space="preserve">
Höhe der Verluste</t>
    </r>
    <r>
      <rPr>
        <vertAlign val="superscript"/>
        <sz val="9"/>
        <rFont val="Arial"/>
        <family val="2"/>
      </rPr>
      <t>3</t>
    </r>
  </si>
  <si>
    <t>Einheit</t>
  </si>
  <si>
    <t>Darunter mit Entscheidung über die Restschuldbefreiung</t>
  </si>
  <si>
    <t>ausgewählte Entscheidungen über die Restschuldbefreiung</t>
  </si>
  <si>
    <t>Restschuldbefreiung wurde erteilt</t>
  </si>
  <si>
    <t>Restschuldbefreiung wurde versagt</t>
  </si>
  <si>
    <r>
      <t>ausgewählte Versagungsgründe</t>
    </r>
    <r>
      <rPr>
        <vertAlign val="superscript"/>
        <sz val="9"/>
        <rFont val="Arial"/>
        <family val="2"/>
      </rPr>
      <t>4</t>
    </r>
  </si>
  <si>
    <t>Mindestvergütung
der Treuhänder:innen
nicht gezahlt</t>
  </si>
  <si>
    <t>Verletzung der Mitwirkungspflicht</t>
  </si>
  <si>
    <t>Verstoß gegen Obliegenheiten</t>
  </si>
  <si>
    <t xml:space="preserve"> Insgesamt  </t>
  </si>
  <si>
    <t xml:space="preserve">   Anzahl</t>
  </si>
  <si>
    <t xml:space="preserve"> Höhe der Forderungen</t>
  </si>
  <si>
    <t xml:space="preserve">   1 000 Euro</t>
  </si>
  <si>
    <t xml:space="preserve"> Höhe der Verluste</t>
  </si>
  <si>
    <t>Einzelunternehmen und natürliche Personen als Gesellschafter:innen u. Ä.</t>
  </si>
  <si>
    <r>
      <t>1</t>
    </r>
    <r>
      <rPr>
        <sz val="8"/>
        <rFont val="Arial"/>
        <family val="2"/>
      </rPr>
      <t xml:space="preserve">  Natürliche Personen umfassen natürliche Personen als Gesellschafter:innen u. Ä., ehemals selbstständig Tätige mit Regelinsolvenzverfahren oder mit vereinfachtem Verfahren, Einzelunternehmen sowie Verbraucher:innen.</t>
    </r>
  </si>
  <si>
    <r>
      <t>2</t>
    </r>
    <r>
      <rPr>
        <sz val="8"/>
        <rFont val="Arial"/>
        <family val="2"/>
      </rPr>
      <t xml:space="preserve">  Summe aus befriedigten Absonderungsrechten und quotenberechtigten Forderungen. Nicht befriedigte Absonderungsrechte sind in den quotenberechtigten Forderungen enthalten. 
   Angaben liegen nur für Insolvenzverfahren vor, die bis 31.12.2023 beendet worden sind.</t>
    </r>
  </si>
  <si>
    <r>
      <t>3</t>
    </r>
    <r>
      <rPr>
        <sz val="8"/>
        <rFont val="Arial"/>
        <family val="2"/>
      </rPr>
      <t xml:space="preserve">  Differenz zwischen den quotenberechtigten Forderungen und dem zur Verteilung verfügbaren Betrag. Angaben liegen nur für Insolvenzverfahren vor, die bis 31.12.2023 beendet worden sind.</t>
    </r>
  </si>
  <si>
    <r>
      <t>4</t>
    </r>
    <r>
      <rPr>
        <sz val="8"/>
        <rFont val="Arial"/>
        <family val="2"/>
      </rPr>
      <t xml:space="preserve">  Es kann bei einem Verfahren mehrere Versagungsgründe geben.</t>
    </r>
  </si>
  <si>
    <t>17   In 2020 eröffnete und bis 31.12.2023 beendete Verbraucherinsolvenzverfahren in Schleswig-Holstein: 
Finanzielle Ergebnisse der Gläubiger:innen und Deckungsquoten nach Kreisen</t>
  </si>
  <si>
    <r>
      <t>4</t>
    </r>
    <r>
      <rPr>
        <sz val="8"/>
        <rFont val="Arial"/>
        <family val="2"/>
      </rPr>
      <t xml:space="preserve">  einschließlich ehemals selbstständig Tätige, deren Vermögensverhältnisse überschaubar sind und gegen die keine Forderungen aus Arbeitsverhältnissen bestehen</t>
    </r>
  </si>
  <si>
    <t>KREISFREIE STADT
Kreis</t>
  </si>
  <si>
    <t>18   In 2016 eröffnete und bis 31.12.2023 beendete Regel-, Nachlass- und Gesamtgutinsolvenzverfahren in Schleswig-Holstein: 
Finanzielle Ergebnisse der Gläubiger:innen und Deckungsquoten nach Kreisen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</si>
</sst>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164" formatCode="0.0"/>
    <numFmt numFmtId="165" formatCode="#\ ##0\ \ \ \ \ \ \ \ \ \ ;\–#\ ##0\ \ \ \ \ \ \ \ \ \ \ \ ;\–\ \ \ \ \ \ \ \ \ \ \ \ ;@\ \ \ \ \ \ \ \ \ \ \ "/>
    <numFmt numFmtId="166" formatCode="\ \ \ \ \ \ \ \+* 0.0\ \ \ \ \ \ \ \ \ \ ;\ \ \ \ \ \ \ \–* 0.0\ \ \ \ \ \ \ \ \ \ ;\–\ \ \ \ \ \ \ \ \ \ ;@\ \ \ \ \ \ \ \ \ \ "/>
    <numFmt numFmtId="167" formatCode="0.0\ \ \ \ \ \ \ \ \ \ ;0.0\ \ \ \ \ \ \ \ \ \ ;\–\ \ \ \ \ \ \ \ \ \ ;@\ \ \ \ \ \ \ \ \ \ "/>
    <numFmt numFmtId="168" formatCode="#\ ##0.0\ \ \ \ \ \ \ \ \ \ ;\–#\ ##0.0\ \ \ \ \ \ \ \ \ \ \ \ ;\–\ \ \ \ \ \ \ \ \ \ \ \ ;@\ \ \ \ \ \ \ \ \ \ \ "/>
    <numFmt numFmtId="169" formatCode="??0.0\ \ ;\ * \–??0.0\ \ ;\ * \–\ \ ;\ * @\ \ "/>
    <numFmt numFmtId="170" formatCode="###\ ##0.0\ \ ;\ * \–###\ ##0.0\ \ ;\ * \–\ \ ;\ * @\ \ "/>
    <numFmt numFmtId="171" formatCode="#\ ###"/>
    <numFmt numFmtId="172" formatCode="#\ ###\ ##0&quot;  &quot;;\–\ #\ ###\ ##0&quot;  &quot;;\—&quot;  &quot;;@&quot;  &quot;"/>
    <numFmt numFmtId="173" formatCode="#,##0.0"/>
    <numFmt numFmtId="174" formatCode="#\ ##0"/>
    <numFmt numFmtId="175" formatCode="#\ ###\ ##0"/>
    <numFmt numFmtId="176" formatCode="0.0;0.0;\–;@"/>
    <numFmt numFmtId="177" formatCode="#\ ##0.0"/>
    <numFmt numFmtId="178" formatCode="0.00;0.00;\–;@"/>
    <numFmt numFmtId="179" formatCode="###\ ##0.0\ \ ;\ * \–###\ ##0.0\ \ ;\ * \X\ \ ;\ * @\ \ "/>
    <numFmt numFmtId="180" formatCode="###\ ##0"/>
    <numFmt numFmtId="181" formatCode="#\ ##0\ \ \ \ \ \ \ \ \ \ ;\–#\ ##0\ \ \ \ \ \ \ \ \ \ \ \ ;\–\ \ \ \ \ \ \ \ \ \ ;@\ \ \ \ \ \ \ \ \ \ \ "/>
    <numFmt numFmtId="182" formatCode="#\ ##0\ \ \ \ \ \ \ \ \ \ \ ;;\–\ \ \ \ \ \ \ \ \ \ \ ;@\ \ \ \ \ \ \ \ \ \ \ "/>
    <numFmt numFmtId="183" formatCode="\+\ #,##0.0;\-\ #,##0.0"/>
    <numFmt numFmtId="184" formatCode="#\ ##0;;;\–"/>
    <numFmt numFmtId="187" formatCode="\+\ 0.0;\–\ 0.0;\–"/>
    <numFmt numFmtId="188" formatCode="\ \ \ \ \ \ \ \ \+* #,##0.0;\ \ \ \ \ \ \ \ \–* #,##0.0"/>
    <numFmt numFmtId="189" formatCode="\+\ \ #0.0;\–\ \ #0.0"/>
    <numFmt numFmtId="190" formatCode="#\ ##0\ \ \ \ \ \ \ \ \ \ ;;\–\ \ \ \ \ \ \ \ \ \ \ \ ;@\ \ \ \ \ \ \ \ \ \ \ "/>
    <numFmt numFmtId="191" formatCode="\ \ \ \ \ \ \ \ \ \ \+* #0.0\ \ \ \ \ \ \ \ \ \ ;\ \ \ \ \ \ \ \ \ \ \–* #0.0\ \ \ \ \ \ \ \ \ \ ;\–\ \ \ \ \ \ \ \ \ \ ;@\ \ \ \ \ \ \ \ \ \ "/>
    <numFmt numFmtId="192" formatCode="#\ ##0\ \ \ \ \ \ \ \ \ \ "/>
    <numFmt numFmtId="193" formatCode="###0"/>
    <numFmt numFmtId="194" formatCode="#\ ##0\ \ \ \ \ \ \ \ \ \ \ "/>
    <numFmt numFmtId="195" formatCode="##0.0"/>
    <numFmt numFmtId="196" formatCode="#\ ##0\ \ \ \ \ \ \ \ \ ;;\–\ \ \ \ \ \ \ \ \ \ \ ;@\ \ \ \ \ \ \ \ \ "/>
    <numFmt numFmtId="197" formatCode="#\ ##0\ \ \ \ \ \ \ \ ;;\–\ \ \ \ \ \ \ \ \ \ ;@\ \ \ \ \ \ \ \ "/>
    <numFmt numFmtId="198" formatCode="#\ ##0\ \ \ \ \ \ \ ;;\–\ \ \ \ \ \ \ \ \ ;@\ \ \ \ \ \ \ "/>
    <numFmt numFmtId="199" formatCode="0.0\ \ \ \ \ \ \ \ \ \ "/>
  </numFmts>
  <fonts count="57" x14ac:knownFonts="1">
    <font>
      <sz val="9"/>
      <color theme="1"/>
      <name val="Arial"/>
      <family val="2"/>
    </font>
    <font>
      <sz val="10"/>
      <color theme="1"/>
      <name val="Arial"/>
      <family val="2"/>
    </font>
    <font>
      <sz val="11"/>
      <color theme="1"/>
      <name val="Arial"/>
      <family val="2"/>
    </font>
    <font>
      <b/>
      <sz val="11"/>
      <color rgb="FF244061"/>
      <name val="Arial"/>
      <family val="2"/>
    </font>
    <font>
      <sz val="11"/>
      <color rgb="FF000000"/>
      <name val="Arial"/>
      <family val="2"/>
    </font>
    <font>
      <sz val="9"/>
      <color theme="1"/>
      <name val="Arial"/>
      <family val="2"/>
    </font>
    <font>
      <u/>
      <sz val="9"/>
      <color theme="10"/>
      <name val="Arial"/>
      <family val="2"/>
    </font>
    <font>
      <sz val="11"/>
      <color indexed="8"/>
      <name val="Calibri"/>
      <family val="2"/>
      <scheme val="minor"/>
    </font>
    <font>
      <sz val="12"/>
      <color theme="0" tint="-0.499984740745262"/>
      <name val="Arial"/>
      <family val="2"/>
    </font>
    <font>
      <sz val="12"/>
      <name val="Arial"/>
      <family val="2"/>
    </font>
    <font>
      <b/>
      <sz val="9"/>
      <color rgb="FF244061"/>
      <name val="Arial"/>
      <family val="2"/>
    </font>
    <font>
      <sz val="11"/>
      <color rgb="FF244061"/>
      <name val="Arial"/>
      <family val="2"/>
    </font>
    <font>
      <sz val="9"/>
      <color rgb="FF000000"/>
      <name val="Arial"/>
      <family val="2"/>
    </font>
    <font>
      <sz val="9"/>
      <color rgb="FF244061"/>
      <name val="Arial"/>
      <family val="2"/>
    </font>
    <font>
      <sz val="11"/>
      <color rgb="FFFF0000"/>
      <name val="Arial"/>
      <family val="2"/>
    </font>
    <font>
      <u/>
      <sz val="9"/>
      <name val="Arial"/>
      <family val="2"/>
    </font>
    <font>
      <sz val="9"/>
      <name val="Arial"/>
      <family val="2"/>
    </font>
    <font>
      <sz val="9.5"/>
      <color theme="1"/>
      <name val="Arial"/>
      <family val="2"/>
    </font>
    <font>
      <b/>
      <sz val="10"/>
      <name val="Arial"/>
      <family val="2"/>
    </font>
    <font>
      <sz val="7"/>
      <name val="Arial"/>
      <family val="2"/>
    </font>
    <font>
      <b/>
      <sz val="11"/>
      <color rgb="FF002060"/>
      <name val="Arial"/>
      <family val="2"/>
    </font>
    <font>
      <sz val="10"/>
      <name val="Arial"/>
      <family val="2"/>
    </font>
    <font>
      <sz val="8"/>
      <name val="Arial"/>
      <family val="2"/>
    </font>
    <font>
      <b/>
      <sz val="9"/>
      <name val="Arial"/>
      <family val="2"/>
    </font>
    <font>
      <b/>
      <sz val="12"/>
      <color rgb="FF003063"/>
      <name val="Arial"/>
      <family val="2"/>
    </font>
    <font>
      <sz val="11"/>
      <color rgb="FF003063"/>
      <name val="Arial"/>
      <family val="2"/>
    </font>
    <font>
      <sz val="9"/>
      <color rgb="FF003063"/>
      <name val="Arial"/>
      <family val="2"/>
    </font>
    <font>
      <b/>
      <sz val="9"/>
      <color rgb="FF003063"/>
      <name val="Arial"/>
      <family val="2"/>
    </font>
    <font>
      <b/>
      <vertAlign val="superscript"/>
      <sz val="12"/>
      <color rgb="FF003063"/>
      <name val="Arial"/>
      <family val="2"/>
    </font>
    <font>
      <sz val="12"/>
      <color rgb="FF003063"/>
      <name val="Arial"/>
      <family val="2"/>
    </font>
    <font>
      <sz val="10"/>
      <color rgb="FF003063"/>
      <name val="Arial"/>
      <family val="2"/>
    </font>
    <font>
      <b/>
      <sz val="28"/>
      <color rgb="FF003063"/>
      <name val="Arial"/>
      <family val="2"/>
    </font>
    <font>
      <sz val="24"/>
      <color rgb="FF003063"/>
      <name val="Arial"/>
      <family val="2"/>
    </font>
    <font>
      <b/>
      <sz val="11"/>
      <color rgb="FF003063"/>
      <name val="Arial"/>
      <family val="2"/>
    </font>
    <font>
      <sz val="10"/>
      <color rgb="FF244061"/>
      <name val="Arial"/>
      <family val="2"/>
    </font>
    <font>
      <sz val="9.5"/>
      <color rgb="FF244061"/>
      <name val="Arial"/>
      <family val="2"/>
    </font>
    <font>
      <sz val="9"/>
      <color rgb="FFFF0000"/>
      <name val="Arial"/>
      <family val="2"/>
    </font>
    <font>
      <vertAlign val="superscript"/>
      <sz val="8"/>
      <name val="Arial"/>
      <family val="2"/>
    </font>
    <font>
      <b/>
      <sz val="9"/>
      <color theme="1"/>
      <name val="Arial"/>
      <family val="2"/>
    </font>
    <font>
      <sz val="11"/>
      <color theme="1"/>
      <name val="Calibri"/>
      <family val="2"/>
      <scheme val="minor"/>
    </font>
    <font>
      <vertAlign val="superscript"/>
      <sz val="8"/>
      <color theme="1"/>
      <name val="Arial"/>
      <family val="2"/>
    </font>
    <font>
      <sz val="8"/>
      <color theme="1"/>
      <name val="Arial"/>
      <family val="2"/>
    </font>
    <font>
      <vertAlign val="superscript"/>
      <sz val="9"/>
      <name val="Arial"/>
      <family val="2"/>
    </font>
    <font>
      <vertAlign val="superscript"/>
      <sz val="9"/>
      <color theme="1"/>
      <name val="Arial"/>
      <family val="2"/>
    </font>
    <font>
      <b/>
      <sz val="10"/>
      <color rgb="FF244061"/>
      <name val="Arial"/>
      <family val="2"/>
    </font>
    <font>
      <u/>
      <sz val="8"/>
      <color rgb="FF003063"/>
      <name val="Arial"/>
      <family val="2"/>
    </font>
    <font>
      <b/>
      <u/>
      <sz val="8"/>
      <color rgb="FF003063"/>
      <name val="Arial"/>
      <family val="2"/>
    </font>
    <font>
      <u/>
      <sz val="8"/>
      <color rgb="FF244061"/>
      <name val="Arial"/>
      <family val="2"/>
    </font>
    <font>
      <b/>
      <u/>
      <sz val="8"/>
      <color rgb="FF244061"/>
      <name val="Arial"/>
      <family val="2"/>
    </font>
    <font>
      <sz val="11"/>
      <name val="Arial"/>
      <family val="2"/>
    </font>
    <font>
      <b/>
      <sz val="11"/>
      <color theme="1"/>
      <name val="Arial"/>
      <family val="2"/>
    </font>
    <font>
      <vertAlign val="superscript"/>
      <sz val="8"/>
      <color rgb="FFFF0000"/>
      <name val="Arial"/>
      <family val="2"/>
    </font>
    <font>
      <b/>
      <sz val="9"/>
      <color rgb="FFFF0000"/>
      <name val="Arial"/>
      <family val="2"/>
    </font>
    <font>
      <b/>
      <sz val="9"/>
      <color rgb="FF00B050"/>
      <name val="Arial"/>
      <family val="2"/>
    </font>
    <font>
      <strike/>
      <sz val="8"/>
      <color rgb="FFFF0000"/>
      <name val="Arial"/>
      <family val="2"/>
    </font>
    <font>
      <vertAlign val="superscript"/>
      <sz val="9"/>
      <color rgb="FF000000"/>
      <name val="Arial"/>
      <family val="2"/>
    </font>
    <font>
      <b/>
      <vertAlign val="superscript"/>
      <sz val="9"/>
      <name val="Arial"/>
      <family val="2"/>
    </font>
  </fonts>
  <fills count="4">
    <fill>
      <patternFill patternType="none"/>
    </fill>
    <fill>
      <patternFill patternType="gray125"/>
    </fill>
    <fill>
      <patternFill patternType="solid">
        <fgColor theme="0"/>
        <bgColor indexed="64"/>
      </patternFill>
    </fill>
    <fill>
      <patternFill patternType="solid">
        <fgColor rgb="FFCFE9FB"/>
        <bgColor indexed="64"/>
      </patternFill>
    </fill>
  </fills>
  <borders count="16">
    <border>
      <left/>
      <right/>
      <top/>
      <bottom/>
      <diagonal/>
    </border>
    <border>
      <left/>
      <right/>
      <top/>
      <bottom style="thin">
        <color rgb="FF244061"/>
      </bottom>
      <diagonal/>
    </border>
    <border>
      <left/>
      <right/>
      <top/>
      <bottom style="thin">
        <color auto="1"/>
      </bottom>
      <diagonal/>
    </border>
    <border>
      <left/>
      <right/>
      <top/>
      <bottom style="thin">
        <color rgb="FF003063"/>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s>
  <cellStyleXfs count="9">
    <xf numFmtId="0" fontId="0" fillId="0" borderId="0"/>
    <xf numFmtId="0" fontId="1" fillId="0" borderId="0"/>
    <xf numFmtId="0" fontId="5" fillId="0" borderId="0"/>
    <xf numFmtId="0" fontId="6" fillId="0" borderId="0" applyNumberFormat="0" applyFill="0" applyBorder="0" applyAlignment="0" applyProtection="0"/>
    <xf numFmtId="0" fontId="7" fillId="0" borderId="0"/>
    <xf numFmtId="0" fontId="1" fillId="0" borderId="0"/>
    <xf numFmtId="0" fontId="21" fillId="0" borderId="0"/>
    <xf numFmtId="0" fontId="39" fillId="0" borderId="0"/>
    <xf numFmtId="9" fontId="5" fillId="0" borderId="0" applyFont="0" applyFill="0" applyBorder="0" applyAlignment="0" applyProtection="0"/>
  </cellStyleXfs>
  <cellXfs count="455">
    <xf numFmtId="0" fontId="0" fillId="0" borderId="0" xfId="0"/>
    <xf numFmtId="0" fontId="5" fillId="0" borderId="0" xfId="2"/>
    <xf numFmtId="0" fontId="0" fillId="0" borderId="0" xfId="0" applyFill="1"/>
    <xf numFmtId="0" fontId="3" fillId="0" borderId="0" xfId="0" applyFont="1" applyFill="1" applyAlignment="1">
      <alignment horizontal="right" vertical="top" wrapText="1"/>
    </xf>
    <xf numFmtId="0" fontId="0" fillId="2" borderId="0" xfId="0" applyFill="1"/>
    <xf numFmtId="0" fontId="2" fillId="0" borderId="0" xfId="0" applyFont="1" applyFill="1" applyBorder="1" applyAlignment="1">
      <alignment horizontal="left" vertical="center"/>
    </xf>
    <xf numFmtId="0" fontId="3" fillId="0" borderId="0" xfId="0" applyFont="1" applyFill="1" applyBorder="1" applyAlignment="1">
      <alignment horizontal="right" vertical="top" wrapText="1"/>
    </xf>
    <xf numFmtId="0" fontId="0" fillId="0" borderId="0" xfId="0" applyFill="1" applyBorder="1"/>
    <xf numFmtId="0" fontId="0" fillId="2" borderId="0" xfId="0" applyFill="1" applyBorder="1"/>
    <xf numFmtId="0" fontId="0" fillId="0" borderId="0" xfId="0" applyFont="1" applyFill="1"/>
    <xf numFmtId="0" fontId="0" fillId="0" borderId="0" xfId="0" applyFont="1" applyFill="1" applyAlignment="1">
      <alignment horizontal="left" vertical="top" wrapText="1"/>
    </xf>
    <xf numFmtId="0" fontId="0" fillId="0" borderId="0" xfId="0" applyFont="1" applyFill="1" applyAlignment="1">
      <alignment vertical="top"/>
    </xf>
    <xf numFmtId="0" fontId="0" fillId="0" borderId="0" xfId="0" applyFont="1" applyFill="1" applyAlignment="1">
      <alignment vertical="top" wrapText="1"/>
    </xf>
    <xf numFmtId="0" fontId="12" fillId="0" borderId="0" xfId="0" applyFont="1" applyFill="1" applyAlignment="1">
      <alignment horizontal="left" vertical="center" wrapText="1"/>
    </xf>
    <xf numFmtId="0" fontId="4" fillId="0" borderId="0" xfId="0" applyFont="1" applyFill="1" applyAlignment="1">
      <alignment horizontal="left" vertical="center" wrapText="1"/>
    </xf>
    <xf numFmtId="0" fontId="0" fillId="0" borderId="0" xfId="0" applyBorder="1"/>
    <xf numFmtId="0" fontId="11" fillId="0" borderId="0" xfId="0" applyFont="1" applyFill="1" applyAlignment="1">
      <alignment horizontal="left" vertical="center" wrapText="1"/>
    </xf>
    <xf numFmtId="0" fontId="13" fillId="0" borderId="0" xfId="0" applyFont="1" applyFill="1"/>
    <xf numFmtId="0" fontId="3" fillId="0" borderId="0" xfId="0" applyFont="1" applyFill="1" applyBorder="1" applyAlignment="1">
      <alignment vertical="top"/>
    </xf>
    <xf numFmtId="0" fontId="3" fillId="0" borderId="0" xfId="0" applyFont="1" applyFill="1" applyBorder="1" applyAlignment="1">
      <alignment vertical="top" wrapText="1"/>
    </xf>
    <xf numFmtId="0" fontId="0" fillId="0" borderId="0" xfId="0" applyFont="1" applyFill="1" applyBorder="1"/>
    <xf numFmtId="0" fontId="0" fillId="0" borderId="0" xfId="0" applyFont="1" applyFill="1" applyBorder="1" applyAlignment="1">
      <alignment vertical="top"/>
    </xf>
    <xf numFmtId="0" fontId="12" fillId="0" borderId="0" xfId="0" applyFont="1" applyFill="1" applyBorder="1" applyAlignment="1">
      <alignment vertical="top" wrapText="1"/>
    </xf>
    <xf numFmtId="0" fontId="13" fillId="0" borderId="0" xfId="0" applyFont="1" applyFill="1" applyBorder="1"/>
    <xf numFmtId="0" fontId="0" fillId="0" borderId="0" xfId="0" applyFill="1" applyBorder="1" applyAlignment="1">
      <alignment vertical="top"/>
    </xf>
    <xf numFmtId="0" fontId="14" fillId="0" borderId="0" xfId="0" applyFont="1"/>
    <xf numFmtId="0" fontId="12" fillId="0" borderId="0" xfId="0" applyFont="1" applyFill="1" applyBorder="1" applyAlignment="1">
      <alignment horizontal="left" vertical="top" wrapText="1" indent="1"/>
    </xf>
    <xf numFmtId="0" fontId="4" fillId="0" borderId="0" xfId="0" applyFont="1" applyFill="1" applyBorder="1"/>
    <xf numFmtId="0" fontId="12" fillId="0" borderId="0" xfId="0" applyFont="1" applyFill="1" applyBorder="1" applyAlignment="1">
      <alignment wrapText="1"/>
    </xf>
    <xf numFmtId="0" fontId="12" fillId="0" borderId="0" xfId="0" applyFont="1" applyFill="1" applyAlignment="1">
      <alignment wrapText="1"/>
    </xf>
    <xf numFmtId="0" fontId="10" fillId="0" borderId="0" xfId="0" applyFont="1" applyFill="1" applyBorder="1" applyAlignment="1">
      <alignment horizontal="left" vertical="center" wrapText="1"/>
    </xf>
    <xf numFmtId="0" fontId="2" fillId="0" borderId="0" xfId="0" applyFont="1" applyFill="1"/>
    <xf numFmtId="0" fontId="15" fillId="0" borderId="0" xfId="3" applyFont="1" applyFill="1" applyAlignment="1">
      <alignment vertical="center" wrapText="1"/>
    </xf>
    <xf numFmtId="0" fontId="16" fillId="0" borderId="0" xfId="0" applyFont="1" applyFill="1" applyAlignment="1">
      <alignment vertical="center" wrapText="1"/>
    </xf>
    <xf numFmtId="0" fontId="0" fillId="0" borderId="0" xfId="0" applyFont="1" applyFill="1" applyAlignment="1">
      <alignment vertical="center" wrapText="1"/>
    </xf>
    <xf numFmtId="0" fontId="0" fillId="0" borderId="0" xfId="0" applyFont="1" applyFill="1" applyBorder="1" applyAlignment="1">
      <alignment vertical="center" wrapText="1"/>
    </xf>
    <xf numFmtId="0" fontId="12" fillId="0" borderId="0" xfId="0" applyFont="1" applyFill="1" applyBorder="1" applyAlignment="1">
      <alignment vertical="center" wrapText="1"/>
    </xf>
    <xf numFmtId="0" fontId="6" fillId="0" borderId="0" xfId="3" applyFont="1" applyFill="1" applyBorder="1" applyAlignment="1">
      <alignment vertical="center" wrapText="1"/>
    </xf>
    <xf numFmtId="0" fontId="12" fillId="0" borderId="0" xfId="0" applyFont="1" applyFill="1" applyBorder="1" applyAlignment="1">
      <alignment horizontal="left" vertical="center" wrapText="1"/>
    </xf>
    <xf numFmtId="0" fontId="12" fillId="0" borderId="0" xfId="0" applyFont="1" applyFill="1" applyAlignment="1">
      <alignment vertical="center" wrapText="1"/>
    </xf>
    <xf numFmtId="0" fontId="3" fillId="2" borderId="0" xfId="0" applyFont="1" applyFill="1" applyAlignment="1">
      <alignment horizontal="right" vertical="top" wrapText="1"/>
    </xf>
    <xf numFmtId="0" fontId="17" fillId="2" borderId="0" xfId="0" applyFont="1" applyFill="1"/>
    <xf numFmtId="0" fontId="2" fillId="2" borderId="0" xfId="0" applyFont="1" applyFill="1" applyBorder="1" applyAlignment="1">
      <alignment horizontal="left" vertical="center"/>
    </xf>
    <xf numFmtId="0" fontId="3" fillId="2" borderId="0" xfId="0" applyFont="1" applyFill="1" applyAlignment="1">
      <alignment horizontal="right" vertical="center" wrapText="1"/>
    </xf>
    <xf numFmtId="0" fontId="5" fillId="0" borderId="0" xfId="2" applyBorder="1"/>
    <xf numFmtId="172" fontId="22" fillId="0" borderId="0" xfId="6" applyNumberFormat="1" applyFont="1" applyFill="1"/>
    <xf numFmtId="0" fontId="0" fillId="2" borderId="0" xfId="0" applyFont="1" applyFill="1"/>
    <xf numFmtId="0" fontId="0" fillId="0" borderId="0" xfId="0" applyFont="1" applyFill="1" applyBorder="1" applyAlignment="1">
      <alignment vertical="top" wrapText="1"/>
    </xf>
    <xf numFmtId="0" fontId="16" fillId="0" borderId="0" xfId="0" applyFont="1" applyFill="1" applyBorder="1" applyAlignment="1">
      <alignment vertical="top" wrapText="1"/>
    </xf>
    <xf numFmtId="0" fontId="3" fillId="0" borderId="0" xfId="0" applyFont="1" applyFill="1" applyBorder="1" applyAlignment="1">
      <alignment horizontal="left" vertical="top" wrapText="1"/>
    </xf>
    <xf numFmtId="0" fontId="3" fillId="0" borderId="0" xfId="0" applyFont="1" applyAlignment="1">
      <alignment horizontal="left" vertical="top" wrapText="1"/>
    </xf>
    <xf numFmtId="0" fontId="2" fillId="0" borderId="1" xfId="0" applyFont="1" applyFill="1" applyBorder="1" applyAlignment="1">
      <alignment horizontal="left" vertical="center"/>
    </xf>
    <xf numFmtId="0" fontId="3" fillId="0" borderId="0" xfId="0" applyFont="1" applyFill="1" applyBorder="1" applyAlignment="1">
      <alignment horizontal="right" vertical="top" wrapText="1"/>
    </xf>
    <xf numFmtId="0" fontId="0" fillId="0" borderId="0" xfId="0" applyFill="1" applyBorder="1" applyAlignment="1">
      <alignment vertical="top" wrapText="1"/>
    </xf>
    <xf numFmtId="0" fontId="16" fillId="0" borderId="0" xfId="0" applyFont="1" applyFill="1" applyBorder="1" applyAlignment="1">
      <alignment horizontal="right" vertical="top" wrapText="1"/>
    </xf>
    <xf numFmtId="0" fontId="15" fillId="0" borderId="0" xfId="3" applyFont="1" applyFill="1" applyAlignment="1">
      <alignment vertical="center"/>
    </xf>
    <xf numFmtId="0" fontId="16" fillId="0" borderId="0" xfId="0" applyFont="1" applyFill="1" applyAlignment="1">
      <alignment vertical="center"/>
    </xf>
    <xf numFmtId="0" fontId="2" fillId="0" borderId="2" xfId="0" applyFont="1" applyFill="1" applyBorder="1" applyAlignment="1">
      <alignment horizontal="left" vertical="center"/>
    </xf>
    <xf numFmtId="0" fontId="0" fillId="2" borderId="3" xfId="0" applyFill="1" applyBorder="1"/>
    <xf numFmtId="0" fontId="8" fillId="0" borderId="0" xfId="0" applyFont="1" applyFill="1" applyBorder="1" applyAlignment="1">
      <alignment horizontal="left" vertical="top"/>
    </xf>
    <xf numFmtId="0" fontId="9" fillId="0" borderId="0" xfId="0" applyFont="1"/>
    <xf numFmtId="0" fontId="0" fillId="0" borderId="0" xfId="0" applyAlignment="1">
      <alignment horizontal="left"/>
    </xf>
    <xf numFmtId="0" fontId="24" fillId="0" borderId="0" xfId="0" applyFont="1" applyFill="1" applyAlignment="1">
      <alignment horizontal="right"/>
    </xf>
    <xf numFmtId="0" fontId="24" fillId="0" borderId="0" xfId="0" applyFont="1" applyFill="1" applyAlignment="1">
      <alignment horizontal="left" vertical="top" wrapText="1"/>
    </xf>
    <xf numFmtId="0" fontId="0" fillId="2" borderId="2" xfId="0" applyFill="1" applyBorder="1"/>
    <xf numFmtId="0" fontId="25" fillId="2" borderId="2" xfId="0" applyFont="1" applyFill="1" applyBorder="1" applyAlignment="1">
      <alignment horizontal="left" vertical="center"/>
    </xf>
    <xf numFmtId="0" fontId="29" fillId="2" borderId="0" xfId="0" applyFont="1" applyFill="1" applyBorder="1" applyAlignment="1">
      <alignment horizontal="left"/>
    </xf>
    <xf numFmtId="0" fontId="24" fillId="0" borderId="0" xfId="0" applyFont="1" applyFill="1" applyBorder="1" applyAlignment="1">
      <alignment horizontal="right"/>
    </xf>
    <xf numFmtId="0" fontId="26" fillId="0" borderId="3" xfId="0" applyFont="1" applyFill="1" applyBorder="1"/>
    <xf numFmtId="0" fontId="30" fillId="0" borderId="3" xfId="0" applyFont="1" applyFill="1" applyBorder="1" applyAlignment="1">
      <alignment horizontal="right" vertical="top"/>
    </xf>
    <xf numFmtId="0" fontId="26" fillId="0" borderId="0" xfId="0" applyFont="1" applyFill="1" applyBorder="1"/>
    <xf numFmtId="0" fontId="30" fillId="0" borderId="0" xfId="0" applyFont="1" applyFill="1" applyBorder="1" applyAlignment="1">
      <alignment horizontal="right" vertical="top"/>
    </xf>
    <xf numFmtId="0" fontId="26" fillId="0" borderId="0" xfId="0" applyFont="1"/>
    <xf numFmtId="0" fontId="26" fillId="0" borderId="0" xfId="2" applyFont="1"/>
    <xf numFmtId="0" fontId="31" fillId="0" borderId="0" xfId="0" applyFont="1" applyFill="1" applyAlignment="1">
      <alignment horizontal="left"/>
    </xf>
    <xf numFmtId="0" fontId="32" fillId="0" borderId="0" xfId="0" applyFont="1" applyFill="1" applyAlignment="1">
      <alignment horizontal="left"/>
    </xf>
    <xf numFmtId="0" fontId="26" fillId="0" borderId="0" xfId="2" applyFont="1" applyAlignment="1">
      <alignment horizontal="left"/>
    </xf>
    <xf numFmtId="0" fontId="29" fillId="0" borderId="0" xfId="0" applyFont="1" applyFill="1" applyAlignment="1">
      <alignment horizontal="left"/>
    </xf>
    <xf numFmtId="0" fontId="29" fillId="0" borderId="0" xfId="0" applyFont="1" applyFill="1" applyAlignment="1">
      <alignment horizontal="left" vertical="top"/>
    </xf>
    <xf numFmtId="0" fontId="24" fillId="2" borderId="2" xfId="0" applyFont="1" applyFill="1" applyBorder="1" applyAlignment="1">
      <alignment horizontal="left" vertical="top"/>
    </xf>
    <xf numFmtId="0" fontId="26" fillId="2" borderId="2" xfId="0" applyFont="1" applyFill="1" applyBorder="1"/>
    <xf numFmtId="0" fontId="27" fillId="2" borderId="2" xfId="0" applyFont="1" applyFill="1" applyBorder="1" applyAlignment="1">
      <alignment horizontal="right"/>
    </xf>
    <xf numFmtId="0" fontId="24" fillId="2" borderId="2" xfId="0" applyFont="1" applyFill="1" applyBorder="1" applyAlignment="1">
      <alignment vertical="top"/>
    </xf>
    <xf numFmtId="0" fontId="24" fillId="2" borderId="2" xfId="0" applyFont="1" applyFill="1" applyBorder="1" applyAlignment="1">
      <alignment vertical="top" wrapText="1"/>
    </xf>
    <xf numFmtId="0" fontId="33" fillId="0" borderId="0" xfId="0" applyFont="1" applyFill="1" applyAlignment="1">
      <alignment horizontal="right" vertical="top"/>
    </xf>
    <xf numFmtId="0" fontId="33" fillId="0" borderId="0" xfId="0" applyFont="1" applyFill="1" applyAlignment="1">
      <alignment horizontal="right" vertical="top" wrapText="1"/>
    </xf>
    <xf numFmtId="0" fontId="25" fillId="0" borderId="0" xfId="0" applyFont="1" applyFill="1" applyAlignment="1">
      <alignment horizontal="left" vertical="center"/>
    </xf>
    <xf numFmtId="0" fontId="33" fillId="0" borderId="0" xfId="0" applyFont="1" applyFill="1" applyBorder="1" applyAlignment="1">
      <alignment horizontal="right" vertical="top" wrapText="1"/>
    </xf>
    <xf numFmtId="0" fontId="27" fillId="0" borderId="0" xfId="0" applyFont="1" applyFill="1" applyBorder="1" applyAlignment="1">
      <alignment horizontal="right" vertical="top" wrapText="1"/>
    </xf>
    <xf numFmtId="0" fontId="27" fillId="0" borderId="0" xfId="0" applyFont="1" applyFill="1" applyAlignment="1">
      <alignment horizontal="right" vertical="center" wrapText="1"/>
    </xf>
    <xf numFmtId="0" fontId="33" fillId="0" borderId="0" xfId="0" applyFont="1" applyFill="1" applyBorder="1" applyAlignment="1">
      <alignment vertical="top"/>
    </xf>
    <xf numFmtId="0" fontId="26" fillId="0" borderId="0" xfId="0" applyFont="1" applyFill="1"/>
    <xf numFmtId="0" fontId="33" fillId="0" borderId="0" xfId="0" applyFont="1" applyFill="1" applyBorder="1" applyAlignment="1">
      <alignment horizontal="left" vertical="center" wrapText="1"/>
    </xf>
    <xf numFmtId="0" fontId="11" fillId="2" borderId="0" xfId="0" applyFont="1" applyFill="1" applyBorder="1" applyAlignment="1">
      <alignment horizontal="left" vertical="center"/>
    </xf>
    <xf numFmtId="0" fontId="34" fillId="2" borderId="0" xfId="0" applyFont="1" applyFill="1" applyBorder="1" applyAlignment="1">
      <alignment horizontal="left"/>
    </xf>
    <xf numFmtId="0" fontId="13" fillId="2" borderId="0" xfId="0" applyFont="1" applyFill="1" applyBorder="1"/>
    <xf numFmtId="0" fontId="13" fillId="2" borderId="0" xfId="0" applyFont="1" applyFill="1" applyBorder="1" applyAlignment="1">
      <alignment horizontal="right" vertical="top"/>
    </xf>
    <xf numFmtId="0" fontId="34" fillId="2" borderId="0" xfId="0" applyFont="1" applyFill="1" applyBorder="1" applyAlignment="1"/>
    <xf numFmtId="0" fontId="35" fillId="2" borderId="0" xfId="0" applyFont="1" applyFill="1" applyBorder="1" applyAlignment="1">
      <alignment horizontal="right" vertical="top"/>
    </xf>
    <xf numFmtId="0" fontId="16" fillId="0" borderId="0" xfId="0" applyFont="1"/>
    <xf numFmtId="0" fontId="0" fillId="0" borderId="0" xfId="0" applyFont="1"/>
    <xf numFmtId="0" fontId="0" fillId="0" borderId="0" xfId="0" applyFont="1" applyBorder="1"/>
    <xf numFmtId="0" fontId="16" fillId="0" borderId="0" xfId="0" applyFont="1" applyFill="1" applyBorder="1" applyAlignment="1">
      <alignment horizontal="center"/>
    </xf>
    <xf numFmtId="0" fontId="38" fillId="0" borderId="0" xfId="0" applyFont="1" applyFill="1" applyBorder="1" applyAlignment="1">
      <alignment vertical="center"/>
    </xf>
    <xf numFmtId="165" fontId="0" fillId="0" borderId="0" xfId="0" applyNumberFormat="1" applyFont="1" applyFill="1" applyAlignment="1">
      <alignment horizontal="right"/>
    </xf>
    <xf numFmtId="0" fontId="0" fillId="3" borderId="5" xfId="0" applyFont="1" applyFill="1" applyBorder="1" applyAlignment="1">
      <alignment horizontal="center" vertical="center" wrapText="1"/>
    </xf>
    <xf numFmtId="0" fontId="0" fillId="3" borderId="6" xfId="0" applyFont="1" applyFill="1" applyBorder="1" applyAlignment="1">
      <alignment horizontal="center" vertical="center" wrapText="1"/>
    </xf>
    <xf numFmtId="0" fontId="45" fillId="0" borderId="0" xfId="3" applyFont="1" applyFill="1" applyAlignment="1">
      <alignment horizontal="right"/>
    </xf>
    <xf numFmtId="167" fontId="0" fillId="0" borderId="0" xfId="0" applyNumberFormat="1" applyFont="1" applyFill="1" applyAlignment="1">
      <alignment horizontal="right"/>
    </xf>
    <xf numFmtId="167" fontId="16" fillId="0" borderId="0" xfId="0" applyNumberFormat="1" applyFont="1" applyFill="1" applyBorder="1" applyAlignment="1">
      <alignment horizontal="right"/>
    </xf>
    <xf numFmtId="176" fontId="0" fillId="0" borderId="0" xfId="0" applyNumberFormat="1" applyFont="1" applyFill="1" applyAlignment="1">
      <alignment horizontal="right" vertical="center" indent="1"/>
    </xf>
    <xf numFmtId="174" fontId="0" fillId="0" borderId="0" xfId="0" applyNumberFormat="1" applyFont="1" applyFill="1" applyAlignment="1">
      <alignment horizontal="right" vertical="center" indent="1"/>
    </xf>
    <xf numFmtId="167" fontId="0" fillId="0" borderId="0" xfId="0" applyNumberFormat="1" applyFont="1" applyFill="1" applyBorder="1" applyAlignment="1">
      <alignment horizontal="right"/>
    </xf>
    <xf numFmtId="176" fontId="0" fillId="0" borderId="2" xfId="0" applyNumberFormat="1" applyFont="1" applyFill="1" applyBorder="1" applyAlignment="1">
      <alignment horizontal="right" vertical="center" indent="1"/>
    </xf>
    <xf numFmtId="0" fontId="0" fillId="0" borderId="7" xfId="0" applyFont="1" applyFill="1" applyBorder="1" applyAlignment="1">
      <alignment horizontal="left" vertical="center" indent="1"/>
    </xf>
    <xf numFmtId="0" fontId="16" fillId="0" borderId="8" xfId="0" applyFont="1" applyFill="1" applyBorder="1" applyAlignment="1">
      <alignment horizontal="left" vertical="center" indent="1"/>
    </xf>
    <xf numFmtId="0" fontId="47" fillId="0" borderId="0" xfId="3" applyFont="1" applyFill="1" applyAlignment="1">
      <alignment horizontal="right"/>
    </xf>
    <xf numFmtId="166" fontId="16" fillId="0" borderId="0" xfId="0" applyNumberFormat="1" applyFont="1" applyFill="1" applyBorder="1" applyAlignment="1">
      <alignment horizontal="right"/>
    </xf>
    <xf numFmtId="173" fontId="0" fillId="0" borderId="0" xfId="0" applyNumberFormat="1" applyFont="1" applyFill="1" applyAlignment="1">
      <alignment horizontal="right" vertical="center" indent="1"/>
    </xf>
    <xf numFmtId="0" fontId="0" fillId="2" borderId="0" xfId="2" applyFont="1" applyFill="1" applyBorder="1"/>
    <xf numFmtId="0" fontId="0" fillId="2" borderId="0" xfId="2" applyFont="1" applyFill="1" applyBorder="1" applyAlignment="1">
      <alignment horizontal="right" vertical="center"/>
    </xf>
    <xf numFmtId="0" fontId="18" fillId="2" borderId="0" xfId="0" applyFont="1" applyFill="1" applyBorder="1" applyAlignment="1">
      <alignment horizontal="center" wrapText="1"/>
    </xf>
    <xf numFmtId="0" fontId="0" fillId="2" borderId="0" xfId="2" applyFont="1" applyFill="1"/>
    <xf numFmtId="0" fontId="3" fillId="2" borderId="0" xfId="0" applyFont="1" applyFill="1" applyAlignment="1">
      <alignment horizontal="right" vertical="center"/>
    </xf>
    <xf numFmtId="0" fontId="0" fillId="2" borderId="0" xfId="2" applyFont="1" applyFill="1" applyAlignment="1">
      <alignment horizontal="right" vertical="center"/>
    </xf>
    <xf numFmtId="164" fontId="0" fillId="2" borderId="0" xfId="0" applyNumberFormat="1" applyFont="1" applyFill="1" applyAlignment="1">
      <alignment horizontal="right"/>
    </xf>
    <xf numFmtId="169" fontId="19" fillId="2" borderId="0" xfId="0" applyNumberFormat="1" applyFont="1" applyFill="1" applyAlignment="1">
      <alignment horizontal="right"/>
    </xf>
    <xf numFmtId="170" fontId="19" fillId="2" borderId="0" xfId="4" applyNumberFormat="1" applyFont="1" applyFill="1" applyAlignment="1">
      <alignment horizontal="right"/>
    </xf>
    <xf numFmtId="170" fontId="0" fillId="2" borderId="0" xfId="0" applyNumberFormat="1" applyFont="1" applyFill="1"/>
    <xf numFmtId="0" fontId="0" fillId="2" borderId="0" xfId="2" applyFont="1" applyFill="1" applyAlignment="1">
      <alignment vertical="center"/>
    </xf>
    <xf numFmtId="0" fontId="44" fillId="2" borderId="0" xfId="0" applyFont="1" applyFill="1" applyAlignment="1">
      <alignment horizontal="center" wrapText="1"/>
    </xf>
    <xf numFmtId="164" fontId="0" fillId="2" borderId="0" xfId="0" applyNumberFormat="1" applyFont="1" applyFill="1"/>
    <xf numFmtId="0" fontId="40" fillId="2" borderId="0" xfId="0" applyFont="1" applyFill="1" applyBorder="1" applyAlignment="1">
      <alignment horizontal="right" vertical="center"/>
    </xf>
    <xf numFmtId="0" fontId="40" fillId="2" borderId="0" xfId="0" applyFont="1" applyFill="1" applyBorder="1" applyAlignment="1"/>
    <xf numFmtId="0" fontId="37" fillId="2" borderId="0" xfId="0" applyFont="1" applyFill="1" applyBorder="1" applyAlignment="1"/>
    <xf numFmtId="0" fontId="0" fillId="2" borderId="0" xfId="0" applyFont="1" applyFill="1" applyAlignment="1">
      <alignment horizontal="right" vertical="center"/>
    </xf>
    <xf numFmtId="0" fontId="0" fillId="2" borderId="0" xfId="0" applyFont="1" applyFill="1" applyAlignment="1"/>
    <xf numFmtId="0" fontId="22" fillId="2" borderId="0" xfId="0" applyFont="1" applyFill="1" applyAlignment="1"/>
    <xf numFmtId="0" fontId="41" fillId="2" borderId="0" xfId="0" applyFont="1" applyFill="1" applyAlignment="1"/>
    <xf numFmtId="0" fontId="16" fillId="2" borderId="0" xfId="2" applyFont="1" applyFill="1"/>
    <xf numFmtId="0" fontId="45" fillId="2" borderId="0" xfId="3" applyFont="1" applyFill="1" applyAlignment="1">
      <alignment horizontal="right"/>
    </xf>
    <xf numFmtId="0" fontId="23" fillId="3" borderId="4" xfId="0" applyFont="1" applyFill="1" applyBorder="1" applyAlignment="1">
      <alignment vertical="center" wrapText="1"/>
    </xf>
    <xf numFmtId="0" fontId="16" fillId="3" borderId="5" xfId="0" applyFont="1" applyFill="1" applyBorder="1" applyAlignment="1">
      <alignment horizontal="center" vertical="center" wrapText="1"/>
    </xf>
    <xf numFmtId="171" fontId="23" fillId="0" borderId="2" xfId="0" applyNumberFormat="1" applyFont="1" applyFill="1" applyBorder="1" applyAlignment="1">
      <alignment horizontal="right" vertical="center" indent="1"/>
    </xf>
    <xf numFmtId="0" fontId="16" fillId="0" borderId="7" xfId="0" applyFont="1" applyFill="1" applyBorder="1" applyAlignment="1">
      <alignment horizontal="left" vertical="center" wrapText="1"/>
    </xf>
    <xf numFmtId="0" fontId="16" fillId="0" borderId="8" xfId="0" applyFont="1" applyFill="1" applyBorder="1" applyAlignment="1">
      <alignment horizontal="left" vertical="center" wrapText="1"/>
    </xf>
    <xf numFmtId="0" fontId="23" fillId="0" borderId="9" xfId="0" applyFont="1" applyFill="1" applyBorder="1" applyAlignment="1">
      <alignment horizontal="left" vertical="center" wrapText="1"/>
    </xf>
    <xf numFmtId="0" fontId="16" fillId="3" borderId="5" xfId="0" applyFont="1" applyFill="1" applyBorder="1" applyAlignment="1">
      <alignment horizontal="center" vertical="center" wrapText="1"/>
    </xf>
    <xf numFmtId="0" fontId="0" fillId="0" borderId="7" xfId="0" applyFont="1" applyFill="1" applyBorder="1" applyAlignment="1">
      <alignment horizontal="left" indent="1"/>
    </xf>
    <xf numFmtId="0" fontId="0" fillId="3" borderId="6" xfId="0" applyFont="1" applyFill="1" applyBorder="1" applyAlignment="1">
      <alignment horizontal="center" vertical="center" wrapText="1"/>
    </xf>
    <xf numFmtId="0" fontId="0" fillId="0" borderId="0" xfId="0" applyFont="1" applyFill="1" applyAlignment="1">
      <alignment horizontal="right" vertical="center" indent="1"/>
    </xf>
    <xf numFmtId="165" fontId="38" fillId="0" borderId="0" xfId="0" applyNumberFormat="1" applyFont="1" applyFill="1" applyBorder="1" applyAlignment="1">
      <alignment horizontal="right"/>
    </xf>
    <xf numFmtId="173" fontId="0" fillId="0" borderId="2" xfId="0" applyNumberFormat="1" applyFont="1" applyFill="1" applyBorder="1" applyAlignment="1">
      <alignment horizontal="right" vertical="center" indent="1"/>
    </xf>
    <xf numFmtId="168" fontId="16" fillId="0" borderId="0" xfId="0" applyNumberFormat="1" applyFont="1" applyFill="1" applyBorder="1" applyAlignment="1">
      <alignment horizontal="right"/>
    </xf>
    <xf numFmtId="0" fontId="16" fillId="0" borderId="7" xfId="0" applyFont="1" applyFill="1" applyBorder="1" applyAlignment="1">
      <alignment horizontal="left" vertical="center" indent="1"/>
    </xf>
    <xf numFmtId="0" fontId="16" fillId="0" borderId="0" xfId="0" applyFont="1" applyFill="1" applyBorder="1" applyAlignment="1">
      <alignment horizontal="left" vertical="center" indent="1"/>
    </xf>
    <xf numFmtId="0" fontId="3" fillId="2" borderId="0" xfId="0" applyFont="1" applyFill="1" applyAlignment="1">
      <alignment horizontal="left" vertical="center"/>
    </xf>
    <xf numFmtId="0" fontId="0" fillId="3" borderId="5" xfId="0" applyFont="1" applyFill="1" applyBorder="1" applyAlignment="1">
      <alignment horizontal="center" vertical="center" wrapText="1"/>
    </xf>
    <xf numFmtId="0" fontId="0" fillId="3" borderId="6" xfId="0" applyFont="1" applyFill="1" applyBorder="1" applyAlignment="1">
      <alignment horizontal="center" vertical="center" wrapText="1"/>
    </xf>
    <xf numFmtId="0" fontId="18" fillId="2" borderId="0" xfId="0" applyFont="1" applyFill="1" applyAlignment="1">
      <alignment horizontal="center" wrapText="1"/>
    </xf>
    <xf numFmtId="0" fontId="20" fillId="2" borderId="0" xfId="0" applyFont="1" applyFill="1" applyAlignment="1">
      <alignment horizontal="right" vertical="center"/>
    </xf>
    <xf numFmtId="0" fontId="20" fillId="2" borderId="0" xfId="0" applyFont="1" applyFill="1" applyAlignment="1">
      <alignment horizontal="left" vertical="top"/>
    </xf>
    <xf numFmtId="164" fontId="0" fillId="2" borderId="0" xfId="2" applyNumberFormat="1" applyFont="1" applyFill="1"/>
    <xf numFmtId="0" fontId="22" fillId="2" borderId="0" xfId="0" applyFont="1" applyFill="1"/>
    <xf numFmtId="164" fontId="16" fillId="2" borderId="0" xfId="0" applyNumberFormat="1" applyFont="1" applyFill="1" applyBorder="1" applyAlignment="1">
      <alignment horizontal="center"/>
    </xf>
    <xf numFmtId="164" fontId="16" fillId="2" borderId="0" xfId="2" applyNumberFormat="1" applyFont="1" applyFill="1"/>
    <xf numFmtId="0" fontId="21" fillId="2" borderId="0" xfId="0" applyFont="1" applyFill="1" applyBorder="1" applyAlignment="1">
      <alignment horizontal="center" vertical="center" wrapText="1"/>
    </xf>
    <xf numFmtId="175" fontId="0" fillId="0" borderId="0" xfId="2" applyNumberFormat="1" applyFont="1" applyFill="1" applyBorder="1" applyAlignment="1">
      <alignment horizontal="right" indent="1"/>
    </xf>
    <xf numFmtId="173" fontId="16" fillId="0" borderId="0" xfId="0" applyNumberFormat="1" applyFont="1" applyFill="1" applyAlignment="1">
      <alignment horizontal="right" vertical="center" indent="1"/>
    </xf>
    <xf numFmtId="0" fontId="16" fillId="0" borderId="0" xfId="0" applyFont="1" applyFill="1" applyAlignment="1">
      <alignment horizontal="right" vertical="center" indent="1"/>
    </xf>
    <xf numFmtId="173" fontId="16" fillId="0" borderId="2" xfId="0" applyNumberFormat="1" applyFont="1" applyFill="1" applyBorder="1" applyAlignment="1">
      <alignment horizontal="right" vertical="center" indent="1"/>
    </xf>
    <xf numFmtId="0" fontId="0" fillId="0" borderId="8" xfId="0" applyFont="1" applyFill="1" applyBorder="1" applyAlignment="1">
      <alignment horizontal="center" vertical="center"/>
    </xf>
    <xf numFmtId="177" fontId="16" fillId="0" borderId="0" xfId="0" applyNumberFormat="1" applyFont="1" applyFill="1" applyAlignment="1">
      <alignment horizontal="right" vertical="center" indent="1"/>
    </xf>
    <xf numFmtId="178" fontId="16" fillId="0" borderId="0" xfId="0" applyNumberFormat="1" applyFont="1" applyFill="1" applyAlignment="1">
      <alignment horizontal="right" vertical="top" indent="1"/>
    </xf>
    <xf numFmtId="178" fontId="16" fillId="0" borderId="0" xfId="0" applyNumberFormat="1" applyFont="1" applyFill="1" applyBorder="1" applyAlignment="1">
      <alignment horizontal="right" vertical="top" indent="1"/>
    </xf>
    <xf numFmtId="0" fontId="36" fillId="0" borderId="0" xfId="0" applyFont="1" applyFill="1" applyBorder="1"/>
    <xf numFmtId="176" fontId="0" fillId="0" borderId="0" xfId="0" applyNumberFormat="1" applyFont="1" applyFill="1" applyBorder="1" applyAlignment="1">
      <alignment horizontal="right" vertical="center" indent="1"/>
    </xf>
    <xf numFmtId="173" fontId="0" fillId="0" borderId="0" xfId="0" applyNumberFormat="1" applyFont="1" applyFill="1" applyBorder="1" applyAlignment="1">
      <alignment horizontal="right" vertical="center" indent="1"/>
    </xf>
    <xf numFmtId="173" fontId="16" fillId="0" borderId="0" xfId="0" applyNumberFormat="1" applyFont="1" applyFill="1" applyBorder="1" applyAlignment="1">
      <alignment horizontal="right" vertical="center" indent="1"/>
    </xf>
    <xf numFmtId="1" fontId="0" fillId="0" borderId="0" xfId="0" applyNumberFormat="1" applyFont="1"/>
    <xf numFmtId="164" fontId="0" fillId="0" borderId="0" xfId="0" applyNumberFormat="1" applyFont="1"/>
    <xf numFmtId="179" fontId="19" fillId="0" borderId="0" xfId="0" applyNumberFormat="1" applyFont="1" applyAlignment="1">
      <alignment horizontal="right"/>
    </xf>
    <xf numFmtId="1" fontId="0" fillId="0" borderId="0" xfId="0" applyNumberFormat="1" applyFont="1" applyFill="1"/>
    <xf numFmtId="0" fontId="36" fillId="0" borderId="0" xfId="0" applyFont="1" applyFill="1"/>
    <xf numFmtId="0" fontId="16" fillId="3" borderId="6" xfId="0" applyFont="1" applyFill="1" applyBorder="1" applyAlignment="1">
      <alignment horizontal="center" vertical="center" wrapText="1"/>
    </xf>
    <xf numFmtId="0" fontId="16" fillId="3" borderId="5" xfId="0" applyFont="1" applyFill="1" applyBorder="1" applyAlignment="1">
      <alignment horizontal="center" vertical="center" wrapText="1"/>
    </xf>
    <xf numFmtId="0" fontId="16" fillId="0" borderId="9" xfId="0" applyFont="1" applyFill="1" applyBorder="1" applyAlignment="1">
      <alignment horizontal="left" vertical="center" indent="1"/>
    </xf>
    <xf numFmtId="0" fontId="16" fillId="0" borderId="8" xfId="0" applyFont="1" applyFill="1" applyBorder="1" applyAlignment="1">
      <alignment horizontal="left" indent="1"/>
    </xf>
    <xf numFmtId="0" fontId="16" fillId="0" borderId="9" xfId="0" applyFont="1" applyFill="1" applyBorder="1" applyAlignment="1">
      <alignment horizontal="left" indent="1"/>
    </xf>
    <xf numFmtId="0" fontId="16" fillId="0" borderId="8" xfId="0" applyFont="1" applyFill="1" applyBorder="1" applyAlignment="1">
      <alignment horizontal="center" vertical="center"/>
    </xf>
    <xf numFmtId="0" fontId="16" fillId="0" borderId="9" xfId="0" applyFont="1" applyFill="1" applyBorder="1" applyAlignment="1">
      <alignment horizontal="center" vertical="center"/>
    </xf>
    <xf numFmtId="0" fontId="49" fillId="0" borderId="0" xfId="0" applyFont="1" applyFill="1" applyBorder="1" applyAlignment="1">
      <alignment horizontal="left" vertical="center"/>
    </xf>
    <xf numFmtId="0" fontId="16" fillId="0" borderId="0" xfId="0" applyFont="1" applyFill="1" applyBorder="1"/>
    <xf numFmtId="0" fontId="16" fillId="0" borderId="0" xfId="0" applyFont="1" applyFill="1" applyBorder="1" applyAlignment="1">
      <alignment vertical="center"/>
    </xf>
    <xf numFmtId="0" fontId="33" fillId="0" borderId="0" xfId="0" applyFont="1" applyFill="1" applyBorder="1" applyAlignment="1">
      <alignment horizontal="right" vertical="top" wrapText="1"/>
    </xf>
    <xf numFmtId="0" fontId="12" fillId="3" borderId="5" xfId="0" applyFont="1" applyFill="1" applyBorder="1" applyAlignment="1">
      <alignment horizontal="center" vertical="center" wrapText="1"/>
    </xf>
    <xf numFmtId="0" fontId="22" fillId="0" borderId="0" xfId="0" applyFont="1"/>
    <xf numFmtId="0" fontId="16" fillId="3" borderId="5" xfId="2" applyFont="1" applyFill="1" applyBorder="1" applyAlignment="1">
      <alignment horizontal="center" vertical="center" wrapText="1"/>
    </xf>
    <xf numFmtId="0" fontId="16" fillId="3" borderId="6" xfId="0" applyFont="1" applyFill="1" applyBorder="1" applyAlignment="1">
      <alignment horizontal="center" vertical="center" wrapText="1"/>
    </xf>
    <xf numFmtId="0" fontId="37" fillId="0" borderId="0" xfId="0" applyFont="1"/>
    <xf numFmtId="0" fontId="16" fillId="3" borderId="5" xfId="0" applyFont="1" applyFill="1" applyBorder="1" applyAlignment="1">
      <alignment horizontal="center" vertical="center" wrapText="1"/>
    </xf>
    <xf numFmtId="0" fontId="11" fillId="2" borderId="0" xfId="0" applyFont="1" applyFill="1" applyAlignment="1">
      <alignment horizontal="left" vertical="center"/>
    </xf>
    <xf numFmtId="0" fontId="34" fillId="2" borderId="0" xfId="0" applyFont="1" applyFill="1"/>
    <xf numFmtId="0" fontId="13" fillId="2" borderId="0" xfId="0" applyFont="1" applyFill="1"/>
    <xf numFmtId="0" fontId="2" fillId="0" borderId="0" xfId="0" applyFont="1" applyAlignment="1">
      <alignment horizontal="left" vertical="center"/>
    </xf>
    <xf numFmtId="0" fontId="0" fillId="3" borderId="5" xfId="0" applyFill="1" applyBorder="1" applyAlignment="1">
      <alignment horizontal="center" vertical="center" wrapText="1"/>
    </xf>
    <xf numFmtId="17" fontId="0" fillId="3" borderId="5" xfId="0" applyNumberFormat="1" applyFill="1"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0" borderId="0" xfId="0" applyAlignment="1">
      <alignment horizontal="center"/>
    </xf>
    <xf numFmtId="0" fontId="0" fillId="0" borderId="8" xfId="0" applyBorder="1" applyAlignment="1">
      <alignment horizontal="left"/>
    </xf>
    <xf numFmtId="180" fontId="0" fillId="0" borderId="0" xfId="0" applyNumberFormat="1" applyAlignment="1">
      <alignment horizontal="right" vertical="center" indent="1"/>
    </xf>
    <xf numFmtId="0" fontId="38" fillId="0" borderId="2" xfId="0" applyFont="1" applyBorder="1" applyAlignment="1">
      <alignment horizontal="center"/>
    </xf>
    <xf numFmtId="0" fontId="38" fillId="0" borderId="9" xfId="0" applyFont="1" applyBorder="1" applyAlignment="1">
      <alignment horizontal="left"/>
    </xf>
    <xf numFmtId="180" fontId="0" fillId="0" borderId="2" xfId="0" applyNumberFormat="1" applyBorder="1" applyAlignment="1">
      <alignment horizontal="right" vertical="center" indent="1"/>
    </xf>
    <xf numFmtId="0" fontId="38" fillId="0" borderId="0" xfId="0" applyFont="1" applyAlignment="1">
      <alignment horizontal="left" indent="1"/>
    </xf>
    <xf numFmtId="0" fontId="38" fillId="0" borderId="0" xfId="0" applyFont="1" applyAlignment="1">
      <alignment horizontal="left"/>
    </xf>
    <xf numFmtId="181" fontId="38" fillId="0" borderId="0" xfId="0" applyNumberFormat="1" applyFont="1" applyAlignment="1">
      <alignment horizontal="right"/>
    </xf>
    <xf numFmtId="0" fontId="40" fillId="0" borderId="0" xfId="0" applyFont="1" applyAlignment="1">
      <alignment vertical="top" wrapText="1"/>
    </xf>
    <xf numFmtId="0" fontId="23" fillId="0" borderId="0" xfId="0" applyFont="1" applyAlignment="1">
      <alignment horizontal="left" indent="1"/>
    </xf>
    <xf numFmtId="0" fontId="23" fillId="0" borderId="0" xfId="0" applyFont="1" applyAlignment="1">
      <alignment horizontal="left"/>
    </xf>
    <xf numFmtId="181" fontId="23" fillId="0" borderId="0" xfId="0" applyNumberFormat="1" applyFont="1" applyAlignment="1">
      <alignment horizontal="right"/>
    </xf>
    <xf numFmtId="0" fontId="0" fillId="0" borderId="0" xfId="0" applyAlignment="1">
      <alignment vertical="center"/>
    </xf>
    <xf numFmtId="0" fontId="16" fillId="3" borderId="13" xfId="0" applyFont="1" applyFill="1" applyBorder="1" applyAlignment="1">
      <alignment horizontal="center" vertical="center" wrapText="1"/>
    </xf>
    <xf numFmtId="49" fontId="16" fillId="3" borderId="13" xfId="0" applyNumberFormat="1" applyFont="1" applyFill="1" applyBorder="1" applyAlignment="1">
      <alignment horizontal="center" vertical="center" wrapText="1"/>
    </xf>
    <xf numFmtId="0" fontId="50" fillId="0" borderId="0" xfId="0" applyFont="1" applyAlignment="1">
      <alignment horizontal="left" vertical="center"/>
    </xf>
    <xf numFmtId="0" fontId="38" fillId="0" borderId="8" xfId="0" applyFont="1" applyBorder="1"/>
    <xf numFmtId="180" fontId="38" fillId="0" borderId="0" xfId="0" applyNumberFormat="1" applyFont="1" applyAlignment="1">
      <alignment horizontal="right" vertical="center" indent="1"/>
    </xf>
    <xf numFmtId="174" fontId="38" fillId="0" borderId="0" xfId="0" applyNumberFormat="1" applyFont="1" applyAlignment="1">
      <alignment horizontal="right" vertical="center" indent="1"/>
    </xf>
    <xf numFmtId="0" fontId="38" fillId="0" borderId="0" xfId="0" applyFont="1"/>
    <xf numFmtId="174" fontId="0" fillId="0" borderId="0" xfId="0" applyNumberFormat="1" applyAlignment="1">
      <alignment horizontal="right" vertical="center" indent="1"/>
    </xf>
    <xf numFmtId="0" fontId="38" fillId="0" borderId="0" xfId="0" applyFont="1" applyAlignment="1">
      <alignment horizontal="center"/>
    </xf>
    <xf numFmtId="0" fontId="38" fillId="0" borderId="0" xfId="0" applyFont="1" applyAlignment="1">
      <alignment wrapText="1"/>
    </xf>
    <xf numFmtId="0" fontId="0" fillId="0" borderId="0" xfId="0" applyAlignment="1">
      <alignment wrapText="1"/>
    </xf>
    <xf numFmtId="0" fontId="0" fillId="0" borderId="2" xfId="0" applyBorder="1" applyAlignment="1">
      <alignment horizontal="center"/>
    </xf>
    <xf numFmtId="0" fontId="0" fillId="0" borderId="9" xfId="0" applyBorder="1" applyAlignment="1">
      <alignment horizontal="left"/>
    </xf>
    <xf numFmtId="174" fontId="0" fillId="0" borderId="2" xfId="0" applyNumberFormat="1" applyBorder="1" applyAlignment="1">
      <alignment horizontal="right" vertical="center" indent="1"/>
    </xf>
    <xf numFmtId="0" fontId="51" fillId="0" borderId="0" xfId="0" applyFont="1" applyAlignment="1">
      <alignment vertical="top" wrapText="1"/>
    </xf>
    <xf numFmtId="0" fontId="38" fillId="0" borderId="8" xfId="0" applyFont="1" applyBorder="1" applyAlignment="1">
      <alignment horizontal="left"/>
    </xf>
    <xf numFmtId="9" fontId="38" fillId="0" borderId="0" xfId="8" applyFont="1" applyFill="1" applyBorder="1" applyAlignment="1">
      <alignment horizontal="right" vertical="center" indent="1"/>
    </xf>
    <xf numFmtId="9" fontId="5" fillId="0" borderId="0" xfId="8" applyFont="1" applyFill="1" applyBorder="1" applyAlignment="1">
      <alignment horizontal="right" vertical="center" indent="1"/>
    </xf>
    <xf numFmtId="9" fontId="5" fillId="0" borderId="2" xfId="8" applyFont="1" applyFill="1" applyBorder="1" applyAlignment="1">
      <alignment horizontal="right" vertical="center" indent="1"/>
    </xf>
    <xf numFmtId="0" fontId="51" fillId="0" borderId="0" xfId="0" applyFont="1"/>
    <xf numFmtId="0" fontId="51" fillId="0" borderId="0" xfId="0" applyFont="1" applyAlignment="1">
      <alignment horizontal="left" vertical="top" wrapText="1"/>
    </xf>
    <xf numFmtId="0" fontId="51" fillId="0" borderId="0" xfId="0" applyFont="1" applyAlignment="1">
      <alignment horizontal="left"/>
    </xf>
    <xf numFmtId="0" fontId="16" fillId="0" borderId="0" xfId="0" applyFont="1" applyAlignment="1">
      <alignment horizontal="left" vertical="center" indent="1"/>
    </xf>
    <xf numFmtId="174" fontId="16" fillId="0" borderId="0" xfId="0" applyNumberFormat="1" applyFont="1" applyAlignment="1">
      <alignment horizontal="right" vertical="center" indent="1"/>
    </xf>
    <xf numFmtId="0" fontId="16" fillId="0" borderId="0" xfId="0" applyFont="1" applyAlignment="1">
      <alignment horizontal="center"/>
    </xf>
    <xf numFmtId="182" fontId="16" fillId="0" borderId="0" xfId="0" applyNumberFormat="1" applyFont="1" applyAlignment="1">
      <alignment horizontal="right"/>
    </xf>
    <xf numFmtId="0" fontId="15" fillId="0" borderId="0" xfId="3" applyFont="1" applyFill="1" applyBorder="1"/>
    <xf numFmtId="0" fontId="16" fillId="0" borderId="8" xfId="0" applyFont="1" applyBorder="1" applyAlignment="1">
      <alignment horizontal="left" vertical="center" indent="1"/>
    </xf>
    <xf numFmtId="0" fontId="16" fillId="0" borderId="9" xfId="0" applyFont="1" applyBorder="1" applyAlignment="1">
      <alignment horizontal="left" vertical="center" indent="1"/>
    </xf>
    <xf numFmtId="174" fontId="16" fillId="0" borderId="2" xfId="0" applyNumberFormat="1" applyFont="1" applyBorder="1" applyAlignment="1">
      <alignment horizontal="right" vertical="center" indent="1"/>
    </xf>
    <xf numFmtId="0" fontId="34" fillId="2" borderId="0" xfId="0" applyFont="1" applyFill="1" applyAlignment="1">
      <alignment horizontal="left"/>
    </xf>
    <xf numFmtId="0" fontId="35" fillId="2" borderId="0" xfId="0" applyFont="1" applyFill="1" applyAlignment="1">
      <alignment horizontal="right" vertical="top"/>
    </xf>
    <xf numFmtId="0" fontId="52" fillId="2" borderId="0" xfId="2" applyFont="1" applyFill="1"/>
    <xf numFmtId="0" fontId="3" fillId="2" borderId="0" xfId="0" applyFont="1" applyFill="1" applyAlignment="1">
      <alignment horizontal="right"/>
    </xf>
    <xf numFmtId="0" fontId="36" fillId="2" borderId="0" xfId="2" applyFont="1" applyFill="1"/>
    <xf numFmtId="0" fontId="53" fillId="2" borderId="0" xfId="2" applyFont="1" applyFill="1"/>
    <xf numFmtId="164" fontId="0" fillId="2" borderId="0" xfId="0" applyNumberFormat="1" applyFill="1" applyAlignment="1">
      <alignment horizontal="right"/>
    </xf>
    <xf numFmtId="170" fontId="0" fillId="2" borderId="0" xfId="0" applyNumberFormat="1" applyFill="1"/>
    <xf numFmtId="0" fontId="0" fillId="2" borderId="0" xfId="0" applyFill="1" applyAlignment="1">
      <alignment horizontal="center"/>
    </xf>
    <xf numFmtId="182" fontId="0" fillId="2" borderId="0" xfId="0" applyNumberFormat="1" applyFill="1" applyAlignment="1">
      <alignment horizontal="right"/>
    </xf>
    <xf numFmtId="0" fontId="37" fillId="2" borderId="0" xfId="0" applyFont="1" applyFill="1"/>
    <xf numFmtId="183" fontId="0" fillId="3" borderId="5" xfId="0" applyNumberFormat="1" applyFill="1" applyBorder="1" applyAlignment="1">
      <alignment horizontal="center" vertical="center" wrapText="1"/>
    </xf>
    <xf numFmtId="0" fontId="38" fillId="0" borderId="7" xfId="0" applyFont="1" applyBorder="1" applyAlignment="1">
      <alignment horizontal="left"/>
    </xf>
    <xf numFmtId="184" fontId="23" fillId="0" borderId="0" xfId="0" applyNumberFormat="1" applyFont="1" applyAlignment="1">
      <alignment horizontal="right" vertical="center" indent="1"/>
    </xf>
    <xf numFmtId="180" fontId="23" fillId="0" borderId="0" xfId="0" applyNumberFormat="1" applyFont="1" applyAlignment="1">
      <alignment horizontal="right" vertical="center" indent="1"/>
    </xf>
    <xf numFmtId="0" fontId="0" fillId="0" borderId="0" xfId="0" applyAlignment="1">
      <alignment horizontal="left" indent="1"/>
    </xf>
    <xf numFmtId="184" fontId="16" fillId="0" borderId="0" xfId="0" applyNumberFormat="1" applyFont="1" applyAlignment="1">
      <alignment horizontal="right" vertical="center" indent="1"/>
    </xf>
    <xf numFmtId="180" fontId="16" fillId="0" borderId="0" xfId="0" applyNumberFormat="1" applyFont="1" applyAlignment="1">
      <alignment horizontal="right" vertical="center" indent="1"/>
    </xf>
    <xf numFmtId="187" fontId="16" fillId="0" borderId="0" xfId="0" applyNumberFormat="1" applyFont="1" applyAlignment="1">
      <alignment horizontal="right" vertical="center" indent="1"/>
    </xf>
    <xf numFmtId="1" fontId="23" fillId="0" borderId="0" xfId="0" applyNumberFormat="1" applyFont="1" applyAlignment="1">
      <alignment horizontal="right" vertical="center" indent="1"/>
    </xf>
    <xf numFmtId="187" fontId="23" fillId="0" borderId="0" xfId="0" applyNumberFormat="1" applyFont="1" applyAlignment="1">
      <alignment horizontal="right" vertical="center" indent="1"/>
    </xf>
    <xf numFmtId="0" fontId="38" fillId="0" borderId="2" xfId="0" applyFont="1" applyBorder="1" applyAlignment="1">
      <alignment horizontal="left" indent="1"/>
    </xf>
    <xf numFmtId="184" fontId="23" fillId="0" borderId="2" xfId="0" applyNumberFormat="1" applyFont="1" applyBorder="1" applyAlignment="1">
      <alignment horizontal="right" vertical="center" indent="1"/>
    </xf>
    <xf numFmtId="180" fontId="23" fillId="0" borderId="2" xfId="0" applyNumberFormat="1" applyFont="1" applyBorder="1" applyAlignment="1">
      <alignment horizontal="right" vertical="center" indent="1"/>
    </xf>
    <xf numFmtId="184" fontId="52" fillId="0" borderId="0" xfId="0" applyNumberFormat="1" applyFont="1" applyAlignment="1">
      <alignment horizontal="right" vertical="center" indent="3"/>
    </xf>
    <xf numFmtId="188" fontId="52" fillId="0" borderId="0" xfId="0" applyNumberFormat="1" applyFont="1" applyAlignment="1">
      <alignment horizontal="right" vertical="center" indent="2"/>
    </xf>
    <xf numFmtId="180" fontId="52" fillId="0" borderId="0" xfId="0" applyNumberFormat="1" applyFont="1" applyAlignment="1">
      <alignment horizontal="right" vertical="center" indent="3"/>
    </xf>
    <xf numFmtId="0" fontId="54" fillId="0" borderId="0" xfId="0" applyFont="1"/>
    <xf numFmtId="183" fontId="16" fillId="0" borderId="0" xfId="0" applyNumberFormat="1" applyFont="1"/>
    <xf numFmtId="0" fontId="0" fillId="0" borderId="0" xfId="2" applyFont="1"/>
    <xf numFmtId="183" fontId="0" fillId="0" borderId="0" xfId="0" applyNumberFormat="1"/>
    <xf numFmtId="0" fontId="0" fillId="3" borderId="6" xfId="0" applyFill="1" applyBorder="1" applyAlignment="1">
      <alignment horizontal="center" vertical="center" wrapText="1"/>
    </xf>
    <xf numFmtId="0" fontId="16" fillId="0" borderId="7" xfId="0" applyFont="1" applyBorder="1" applyAlignment="1">
      <alignment horizontal="left" vertical="center" indent="1"/>
    </xf>
    <xf numFmtId="164" fontId="16" fillId="0" borderId="0" xfId="0" applyNumberFormat="1" applyFont="1" applyAlignment="1">
      <alignment horizontal="right" vertical="center" indent="1"/>
    </xf>
    <xf numFmtId="164" fontId="2" fillId="0" borderId="0" xfId="7" applyNumberFormat="1" applyFont="1"/>
    <xf numFmtId="0" fontId="23" fillId="0" borderId="9" xfId="0" applyFont="1" applyBorder="1" applyAlignment="1">
      <alignment horizontal="left" vertical="center" indent="1"/>
    </xf>
    <xf numFmtId="174" fontId="38" fillId="0" borderId="10" xfId="0" applyNumberFormat="1" applyFont="1" applyBorder="1" applyAlignment="1">
      <alignment horizontal="right" vertical="center" indent="1"/>
    </xf>
    <xf numFmtId="174" fontId="38" fillId="0" borderId="2" xfId="0" applyNumberFormat="1" applyFont="1" applyBorder="1" applyAlignment="1">
      <alignment horizontal="right" vertical="center" indent="1"/>
    </xf>
    <xf numFmtId="164" fontId="23" fillId="0" borderId="2" xfId="0" applyNumberFormat="1" applyFont="1" applyBorder="1" applyAlignment="1">
      <alignment horizontal="right" vertical="center" indent="1"/>
    </xf>
    <xf numFmtId="174" fontId="23" fillId="0" borderId="2" xfId="0" applyNumberFormat="1" applyFont="1" applyBorder="1" applyAlignment="1">
      <alignment horizontal="right" vertical="center" indent="1"/>
    </xf>
    <xf numFmtId="190" fontId="23" fillId="0" borderId="0" xfId="0" applyNumberFormat="1" applyFont="1" applyAlignment="1">
      <alignment horizontal="right"/>
    </xf>
    <xf numFmtId="191" fontId="23" fillId="0" borderId="0" xfId="0" applyNumberFormat="1" applyFont="1" applyAlignment="1">
      <alignment horizontal="right"/>
    </xf>
    <xf numFmtId="173" fontId="23" fillId="0" borderId="0" xfId="0" applyNumberFormat="1" applyFont="1" applyAlignment="1">
      <alignment horizontal="center"/>
    </xf>
    <xf numFmtId="0" fontId="37" fillId="0" borderId="0" xfId="0" applyFont="1" applyAlignment="1">
      <alignment horizontal="left" vertical="top" wrapText="1"/>
    </xf>
    <xf numFmtId="0" fontId="0" fillId="0" borderId="8" xfId="0" applyBorder="1" applyAlignment="1">
      <alignment horizontal="left" vertical="center" indent="1"/>
    </xf>
    <xf numFmtId="174" fontId="16" fillId="0" borderId="0" xfId="0" applyNumberFormat="1" applyFont="1" applyAlignment="1">
      <alignment horizontal="center"/>
    </xf>
    <xf numFmtId="192" fontId="16" fillId="0" borderId="0" xfId="0" applyNumberFormat="1" applyFont="1"/>
    <xf numFmtId="0" fontId="16" fillId="2" borderId="0" xfId="0" applyFont="1" applyFill="1" applyAlignment="1">
      <alignment horizontal="center"/>
    </xf>
    <xf numFmtId="0" fontId="36" fillId="2" borderId="0" xfId="0" applyFont="1" applyFill="1" applyAlignment="1">
      <alignment horizontal="center"/>
    </xf>
    <xf numFmtId="0" fontId="16" fillId="2" borderId="0" xfId="0" applyFont="1" applyFill="1" applyAlignment="1">
      <alignment horizontal="right" vertical="center"/>
    </xf>
    <xf numFmtId="193" fontId="16" fillId="2" borderId="0" xfId="0" applyNumberFormat="1" applyFont="1" applyFill="1" applyAlignment="1">
      <alignment horizontal="right" vertical="center"/>
    </xf>
    <xf numFmtId="193" fontId="16" fillId="2" borderId="0" xfId="0" applyNumberFormat="1" applyFont="1" applyFill="1"/>
    <xf numFmtId="193" fontId="0" fillId="2" borderId="0" xfId="0" applyNumberFormat="1" applyFill="1"/>
    <xf numFmtId="0" fontId="40" fillId="2" borderId="0" xfId="0" applyFont="1" applyFill="1" applyAlignment="1">
      <alignment horizontal="right" vertical="center"/>
    </xf>
    <xf numFmtId="0" fontId="40" fillId="2" borderId="0" xfId="0" applyFont="1" applyFill="1"/>
    <xf numFmtId="0" fontId="0" fillId="2" borderId="0" xfId="0" applyFill="1" applyAlignment="1">
      <alignment horizontal="right" vertical="center"/>
    </xf>
    <xf numFmtId="0" fontId="41" fillId="2" borderId="0" xfId="0" applyFont="1" applyFill="1"/>
    <xf numFmtId="0" fontId="12" fillId="3" borderId="6" xfId="0" applyFont="1" applyFill="1" applyBorder="1" applyAlignment="1">
      <alignment horizontal="center" vertical="center" wrapText="1"/>
    </xf>
    <xf numFmtId="194" fontId="0" fillId="0" borderId="0" xfId="0" applyNumberFormat="1"/>
    <xf numFmtId="174" fontId="0" fillId="0" borderId="0" xfId="0" applyNumberFormat="1"/>
    <xf numFmtId="0" fontId="36" fillId="0" borderId="0" xfId="0" applyFont="1" applyAlignment="1">
      <alignment horizontal="center"/>
    </xf>
    <xf numFmtId="174" fontId="0" fillId="0" borderId="0" xfId="0" applyNumberFormat="1" applyAlignment="1">
      <alignment horizontal="right" indent="3"/>
    </xf>
    <xf numFmtId="174" fontId="0" fillId="0" borderId="0" xfId="0" applyNumberFormat="1" applyAlignment="1">
      <alignment horizontal="center"/>
    </xf>
    <xf numFmtId="0" fontId="23" fillId="0" borderId="7" xfId="0" applyFont="1" applyBorder="1" applyAlignment="1">
      <alignment horizontal="left" vertical="center" indent="1"/>
    </xf>
    <xf numFmtId="174" fontId="23" fillId="0" borderId="0" xfId="0" applyNumberFormat="1" applyFont="1" applyAlignment="1">
      <alignment horizontal="right" vertical="center" indent="1"/>
    </xf>
    <xf numFmtId="0" fontId="16" fillId="0" borderId="8" xfId="0" applyFont="1" applyBorder="1" applyAlignment="1">
      <alignment horizontal="left" vertical="center" indent="2"/>
    </xf>
    <xf numFmtId="0" fontId="23" fillId="0" borderId="8" xfId="0" applyFont="1" applyBorder="1" applyAlignment="1">
      <alignment horizontal="left" vertical="center" indent="1"/>
    </xf>
    <xf numFmtId="175" fontId="0" fillId="0" borderId="0" xfId="0" applyNumberFormat="1"/>
    <xf numFmtId="3" fontId="16" fillId="3" borderId="6" xfId="0" applyNumberFormat="1" applyFont="1" applyFill="1" applyBorder="1" applyAlignment="1">
      <alignment horizontal="center" vertical="center" wrapText="1"/>
    </xf>
    <xf numFmtId="0" fontId="23" fillId="0" borderId="7" xfId="0" applyFont="1" applyBorder="1" applyAlignment="1">
      <alignment horizontal="left" indent="1"/>
    </xf>
    <xf numFmtId="175" fontId="23" fillId="0" borderId="0" xfId="0" applyNumberFormat="1" applyFont="1" applyAlignment="1">
      <alignment horizontal="right" vertical="center" indent="1"/>
    </xf>
    <xf numFmtId="195" fontId="23" fillId="0" borderId="0" xfId="0" applyNumberFormat="1" applyFont="1" applyAlignment="1">
      <alignment horizontal="right" vertical="center" indent="1"/>
    </xf>
    <xf numFmtId="0" fontId="16" fillId="0" borderId="8" xfId="0" applyFont="1" applyBorder="1" applyAlignment="1">
      <alignment horizontal="left" vertical="center" wrapText="1" indent="2"/>
    </xf>
    <xf numFmtId="175" fontId="16" fillId="0" borderId="0" xfId="0" applyNumberFormat="1" applyFont="1" applyAlignment="1">
      <alignment horizontal="right" vertical="center" indent="1"/>
    </xf>
    <xf numFmtId="195" fontId="16" fillId="0" borderId="0" xfId="0" applyNumberFormat="1" applyFont="1" applyAlignment="1">
      <alignment horizontal="right" vertical="center" indent="1"/>
    </xf>
    <xf numFmtId="175" fontId="18" fillId="0" borderId="0" xfId="0" applyNumberFormat="1" applyFont="1" applyAlignment="1">
      <alignment horizontal="right" vertical="center" indent="1"/>
    </xf>
    <xf numFmtId="195" fontId="18" fillId="0" borderId="0" xfId="0" applyNumberFormat="1" applyFont="1" applyAlignment="1">
      <alignment horizontal="right" vertical="center" indent="1"/>
    </xf>
    <xf numFmtId="0" fontId="16" fillId="0" borderId="0" xfId="0" applyFont="1" applyAlignment="1">
      <alignment vertical="center"/>
    </xf>
    <xf numFmtId="0" fontId="23" fillId="0" borderId="8" xfId="0" applyFont="1" applyBorder="1" applyAlignment="1">
      <alignment horizontal="left" vertical="center"/>
    </xf>
    <xf numFmtId="175" fontId="16" fillId="0" borderId="2" xfId="0" applyNumberFormat="1" applyFont="1" applyBorder="1" applyAlignment="1">
      <alignment horizontal="right" vertical="center" indent="1"/>
    </xf>
    <xf numFmtId="195" fontId="16" fillId="0" borderId="2" xfId="0" applyNumberFormat="1" applyFont="1" applyBorder="1" applyAlignment="1">
      <alignment horizontal="right" vertical="center" indent="1"/>
    </xf>
    <xf numFmtId="175" fontId="18" fillId="0" borderId="2" xfId="0" applyNumberFormat="1" applyFont="1" applyBorder="1" applyAlignment="1">
      <alignment horizontal="right" vertical="center" indent="1"/>
    </xf>
    <xf numFmtId="0" fontId="16" fillId="0" borderId="0" xfId="0" applyFont="1" applyAlignment="1">
      <alignment horizontal="left" indent="1"/>
    </xf>
    <xf numFmtId="167" fontId="16" fillId="0" borderId="0" xfId="0" applyNumberFormat="1" applyFont="1" applyAlignment="1">
      <alignment horizontal="right"/>
    </xf>
    <xf numFmtId="196" fontId="16" fillId="0" borderId="0" xfId="0" applyNumberFormat="1" applyFont="1" applyAlignment="1">
      <alignment horizontal="right"/>
    </xf>
    <xf numFmtId="164" fontId="16" fillId="0" borderId="0" xfId="0" applyNumberFormat="1" applyFont="1" applyAlignment="1">
      <alignment horizontal="center"/>
    </xf>
    <xf numFmtId="0" fontId="16" fillId="2" borderId="0" xfId="0" applyFont="1" applyFill="1"/>
    <xf numFmtId="0" fontId="21" fillId="0" borderId="8" xfId="0" applyFont="1" applyBorder="1" applyAlignment="1">
      <alignment horizontal="left" vertical="center" indent="1"/>
    </xf>
    <xf numFmtId="175" fontId="21" fillId="0" borderId="0" xfId="0" applyNumberFormat="1" applyFont="1" applyAlignment="1">
      <alignment horizontal="right" vertical="center" indent="1"/>
    </xf>
    <xf numFmtId="195" fontId="21" fillId="0" borderId="0" xfId="0" applyNumberFormat="1" applyFont="1" applyAlignment="1">
      <alignment horizontal="right" vertical="center" indent="1"/>
    </xf>
    <xf numFmtId="196" fontId="16" fillId="0" borderId="0" xfId="0" applyNumberFormat="1" applyFont="1"/>
    <xf numFmtId="197" fontId="16" fillId="0" borderId="0" xfId="0" applyNumberFormat="1" applyFont="1"/>
    <xf numFmtId="198" fontId="16" fillId="0" borderId="0" xfId="0" applyNumberFormat="1" applyFont="1"/>
    <xf numFmtId="199" fontId="16" fillId="0" borderId="0" xfId="0" applyNumberFormat="1" applyFont="1"/>
    <xf numFmtId="0" fontId="22" fillId="0" borderId="0" xfId="0" applyFont="1" applyAlignment="1">
      <alignment horizontal="left" vertical="center" indent="1"/>
    </xf>
    <xf numFmtId="0" fontId="22" fillId="0" borderId="0" xfId="0" applyFont="1" applyAlignment="1">
      <alignment horizontal="left" vertical="center"/>
    </xf>
    <xf numFmtId="0" fontId="16" fillId="0" borderId="7" xfId="0" applyFont="1" applyBorder="1" applyAlignment="1">
      <alignment horizontal="justify"/>
    </xf>
    <xf numFmtId="0" fontId="23" fillId="0" borderId="8" xfId="0" applyFont="1" applyBorder="1" applyAlignment="1">
      <alignment horizontal="justify"/>
    </xf>
    <xf numFmtId="0" fontId="16" fillId="0" borderId="8" xfId="0" applyFont="1" applyBorder="1" applyAlignment="1">
      <alignment horizontal="justify"/>
    </xf>
    <xf numFmtId="0" fontId="16" fillId="0" borderId="2" xfId="0" applyFont="1" applyBorder="1" applyAlignment="1">
      <alignment horizontal="left" indent="1"/>
    </xf>
    <xf numFmtId="0" fontId="16" fillId="0" borderId="9" xfId="0" applyFont="1" applyBorder="1" applyAlignment="1">
      <alignment horizontal="justify"/>
    </xf>
    <xf numFmtId="0" fontId="16" fillId="0" borderId="0" xfId="0" applyFont="1" applyAlignment="1">
      <alignment horizontal="justify"/>
    </xf>
    <xf numFmtId="196" fontId="18" fillId="0" borderId="0" xfId="0" applyNumberFormat="1" applyFont="1" applyAlignment="1">
      <alignment horizontal="right"/>
    </xf>
    <xf numFmtId="0" fontId="37" fillId="0" borderId="0" xfId="0" applyFont="1" applyAlignment="1">
      <alignment vertical="center"/>
    </xf>
    <xf numFmtId="189" fontId="0" fillId="0" borderId="0" xfId="0" applyNumberFormat="1" applyFont="1" applyFill="1" applyAlignment="1">
      <alignment horizontal="right" vertical="center" indent="1"/>
    </xf>
    <xf numFmtId="189" fontId="0" fillId="0" borderId="11" xfId="0" applyNumberFormat="1" applyFont="1" applyFill="1" applyBorder="1" applyAlignment="1">
      <alignment horizontal="right" vertical="center" indent="1"/>
    </xf>
    <xf numFmtId="189" fontId="0" fillId="0" borderId="0" xfId="0" applyNumberFormat="1" applyFont="1" applyFill="1" applyBorder="1" applyAlignment="1">
      <alignment horizontal="right" vertical="center" indent="1"/>
    </xf>
    <xf numFmtId="189" fontId="0" fillId="0" borderId="10" xfId="0" applyNumberFormat="1" applyFont="1" applyFill="1" applyBorder="1" applyAlignment="1">
      <alignment horizontal="right" vertical="center" indent="1"/>
    </xf>
    <xf numFmtId="189" fontId="0" fillId="0" borderId="2" xfId="0" applyNumberFormat="1" applyFont="1" applyFill="1" applyBorder="1" applyAlignment="1">
      <alignment horizontal="right" vertical="center" indent="1"/>
    </xf>
    <xf numFmtId="0" fontId="16" fillId="3" borderId="13" xfId="0" applyFont="1" applyFill="1" applyBorder="1" applyAlignment="1">
      <alignment horizontal="center" vertical="center" wrapText="1"/>
    </xf>
    <xf numFmtId="187" fontId="0" fillId="0" borderId="0" xfId="0" applyNumberFormat="1" applyFont="1" applyFill="1" applyAlignment="1">
      <alignment horizontal="right" vertical="center" indent="1"/>
    </xf>
    <xf numFmtId="183" fontId="0" fillId="0" borderId="0" xfId="0" applyNumberFormat="1" applyFont="1" applyFill="1" applyAlignment="1">
      <alignment horizontal="right" vertical="center" indent="1"/>
    </xf>
    <xf numFmtId="183" fontId="0" fillId="0" borderId="0" xfId="0" applyNumberFormat="1" applyFont="1" applyFill="1" applyBorder="1" applyAlignment="1">
      <alignment horizontal="right" vertical="center" indent="1"/>
    </xf>
    <xf numFmtId="183" fontId="0" fillId="0" borderId="2" xfId="0" applyNumberFormat="1" applyFont="1" applyFill="1" applyBorder="1" applyAlignment="1">
      <alignment horizontal="right" vertical="center" indent="1"/>
    </xf>
    <xf numFmtId="187" fontId="0" fillId="0" borderId="0" xfId="0" applyNumberFormat="1" applyFont="1" applyFill="1" applyBorder="1" applyAlignment="1">
      <alignment horizontal="right" vertical="center" indent="1"/>
    </xf>
    <xf numFmtId="187" fontId="0" fillId="0" borderId="2" xfId="0" applyNumberFormat="1" applyFont="1" applyFill="1" applyBorder="1" applyAlignment="1">
      <alignment horizontal="right" vertical="center" indent="1"/>
    </xf>
    <xf numFmtId="0" fontId="47" fillId="2" borderId="0" xfId="3" applyFont="1" applyFill="1" applyAlignment="1">
      <alignment horizontal="right"/>
    </xf>
    <xf numFmtId="187" fontId="23" fillId="0" borderId="2" xfId="0" applyNumberFormat="1" applyFont="1" applyBorder="1" applyAlignment="1">
      <alignment horizontal="right" vertical="center" indent="1"/>
    </xf>
    <xf numFmtId="187" fontId="0" fillId="0" borderId="0" xfId="0" applyNumberFormat="1" applyAlignment="1">
      <alignment horizontal="right" vertical="center" indent="1"/>
    </xf>
    <xf numFmtId="187" fontId="38" fillId="0" borderId="2" xfId="0" applyNumberFormat="1" applyFont="1" applyBorder="1" applyAlignment="1">
      <alignment horizontal="right" vertical="center" indent="1"/>
    </xf>
    <xf numFmtId="49" fontId="16" fillId="3" borderId="15" xfId="0" applyNumberFormat="1" applyFont="1" applyFill="1" applyBorder="1" applyAlignment="1">
      <alignment horizontal="center" vertical="center" wrapText="1"/>
    </xf>
    <xf numFmtId="0" fontId="16" fillId="3" borderId="15" xfId="0" applyFont="1" applyFill="1" applyBorder="1" applyAlignment="1">
      <alignment horizontal="center" vertical="center" wrapText="1"/>
    </xf>
    <xf numFmtId="0" fontId="16" fillId="3" borderId="6" xfId="0" applyFont="1" applyFill="1" applyBorder="1" applyAlignment="1">
      <alignment horizontal="center" vertical="center" wrapText="1"/>
    </xf>
    <xf numFmtId="0" fontId="37" fillId="0" borderId="0" xfId="0" applyFont="1"/>
    <xf numFmtId="0" fontId="16" fillId="3" borderId="5" xfId="0" applyFont="1" applyFill="1" applyBorder="1" applyAlignment="1">
      <alignment horizontal="center" vertical="center" wrapText="1"/>
    </xf>
    <xf numFmtId="0" fontId="24" fillId="0" borderId="0" xfId="0" applyFont="1" applyFill="1" applyAlignment="1">
      <alignment horizontal="left" vertical="top" wrapText="1"/>
    </xf>
    <xf numFmtId="0" fontId="33" fillId="0" borderId="0" xfId="0" applyFont="1" applyFill="1" applyBorder="1" applyAlignment="1">
      <alignment horizontal="right" vertical="top" wrapText="1"/>
    </xf>
    <xf numFmtId="0" fontId="38" fillId="0" borderId="0" xfId="0" applyFont="1" applyFill="1" applyBorder="1" applyAlignment="1">
      <alignment horizontal="center" vertical="center"/>
    </xf>
    <xf numFmtId="0" fontId="24" fillId="2" borderId="2" xfId="0" applyFont="1" applyFill="1" applyBorder="1" applyAlignment="1">
      <alignment horizontal="left" vertical="top" wrapText="1"/>
    </xf>
    <xf numFmtId="0" fontId="0" fillId="3" borderId="4" xfId="0" applyFont="1" applyFill="1" applyBorder="1" applyAlignment="1">
      <alignment horizontal="center" vertical="center" wrapText="1"/>
    </xf>
    <xf numFmtId="0" fontId="0" fillId="3" borderId="5" xfId="0" applyFont="1" applyFill="1" applyBorder="1" applyAlignment="1">
      <alignment horizontal="center" vertical="center" wrapText="1"/>
    </xf>
    <xf numFmtId="0" fontId="12" fillId="3" borderId="5" xfId="0" applyFont="1" applyFill="1" applyBorder="1" applyAlignment="1">
      <alignment horizontal="center" vertical="center" wrapText="1"/>
    </xf>
    <xf numFmtId="0" fontId="12" fillId="3" borderId="12" xfId="0" applyFont="1" applyFill="1" applyBorder="1" applyAlignment="1">
      <alignment horizontal="center" vertical="center" wrapText="1"/>
    </xf>
    <xf numFmtId="0" fontId="12" fillId="3" borderId="10" xfId="0" applyFont="1" applyFill="1" applyBorder="1" applyAlignment="1">
      <alignment horizontal="center" vertical="center" wrapText="1"/>
    </xf>
    <xf numFmtId="0" fontId="40" fillId="0" borderId="0" xfId="0" applyFont="1" applyBorder="1"/>
    <xf numFmtId="0" fontId="22" fillId="0" borderId="0" xfId="0" applyFont="1"/>
    <xf numFmtId="0" fontId="23" fillId="0" borderId="0" xfId="0" applyFont="1" applyFill="1" applyBorder="1" applyAlignment="1">
      <alignment horizontal="center" vertical="center"/>
    </xf>
    <xf numFmtId="0" fontId="37" fillId="0" borderId="0" xfId="0" applyFont="1" applyBorder="1"/>
    <xf numFmtId="0" fontId="24" fillId="2" borderId="2" xfId="0" applyFont="1" applyFill="1" applyBorder="1" applyAlignment="1">
      <alignment horizontal="left" vertical="top"/>
    </xf>
    <xf numFmtId="0" fontId="16" fillId="3" borderId="5" xfId="2" applyFont="1" applyFill="1" applyBorder="1" applyAlignment="1">
      <alignment horizontal="center" vertical="center" wrapText="1"/>
    </xf>
    <xf numFmtId="0" fontId="16" fillId="3" borderId="6" xfId="2" applyFont="1" applyFill="1" applyBorder="1" applyAlignment="1">
      <alignment horizontal="center" vertical="center" wrapText="1"/>
    </xf>
    <xf numFmtId="0" fontId="3" fillId="2" borderId="0" xfId="0" applyFont="1" applyFill="1" applyAlignment="1">
      <alignment horizontal="left" vertical="center" wrapText="1"/>
    </xf>
    <xf numFmtId="0" fontId="22" fillId="2" borderId="0" xfId="0" applyFont="1" applyFill="1" applyAlignment="1">
      <alignment vertical="top" wrapText="1"/>
    </xf>
    <xf numFmtId="0" fontId="3" fillId="2" borderId="0" xfId="0" applyFont="1" applyFill="1" applyAlignment="1">
      <alignment horizontal="left" vertical="top" wrapText="1"/>
    </xf>
    <xf numFmtId="0" fontId="16" fillId="3" borderId="6" xfId="0" applyFont="1" applyFill="1" applyBorder="1" applyAlignment="1">
      <alignment horizontal="center" vertical="center" wrapText="1"/>
    </xf>
    <xf numFmtId="0" fontId="0" fillId="3" borderId="12" xfId="0" applyFont="1" applyFill="1" applyBorder="1" applyAlignment="1">
      <alignment horizontal="center" vertical="center" wrapText="1"/>
    </xf>
    <xf numFmtId="0" fontId="0" fillId="3" borderId="10" xfId="0" applyFont="1" applyFill="1" applyBorder="1" applyAlignment="1">
      <alignment horizontal="center" vertical="center" wrapText="1"/>
    </xf>
    <xf numFmtId="0" fontId="37" fillId="0" borderId="0" xfId="0" applyFont="1"/>
    <xf numFmtId="0" fontId="0" fillId="3" borderId="6" xfId="0" applyFont="1" applyFill="1" applyBorder="1" applyAlignment="1">
      <alignment horizontal="center" vertical="center" wrapText="1"/>
    </xf>
    <xf numFmtId="0" fontId="22" fillId="0" borderId="0" xfId="0" applyFont="1" applyAlignment="1">
      <alignment horizontal="left" vertical="top" wrapText="1"/>
    </xf>
    <xf numFmtId="0" fontId="0" fillId="3" borderId="12" xfId="0" applyFont="1" applyFill="1" applyBorder="1" applyAlignment="1">
      <alignment horizontal="center" vertical="center"/>
    </xf>
    <xf numFmtId="0" fontId="0" fillId="3" borderId="10" xfId="0" applyFont="1" applyFill="1" applyBorder="1" applyAlignment="1">
      <alignment horizontal="center" vertical="center"/>
    </xf>
    <xf numFmtId="0" fontId="0" fillId="3" borderId="4" xfId="0" applyFont="1" applyFill="1" applyBorder="1" applyAlignment="1">
      <alignment horizontal="center" vertical="center"/>
    </xf>
    <xf numFmtId="0" fontId="0" fillId="3" borderId="5" xfId="0" applyFont="1" applyFill="1" applyBorder="1" applyAlignment="1">
      <alignment horizontal="center" vertical="center"/>
    </xf>
    <xf numFmtId="0" fontId="0" fillId="3" borderId="6" xfId="0" applyFont="1" applyFill="1" applyBorder="1" applyAlignment="1">
      <alignment horizontal="center" vertical="center"/>
    </xf>
    <xf numFmtId="0" fontId="23" fillId="0" borderId="11" xfId="0" applyFont="1" applyFill="1" applyBorder="1" applyAlignment="1">
      <alignment horizontal="center" vertical="center"/>
    </xf>
    <xf numFmtId="0" fontId="16" fillId="3" borderId="4" xfId="0" applyFont="1" applyFill="1" applyBorder="1" applyAlignment="1">
      <alignment horizontal="center" vertical="center"/>
    </xf>
    <xf numFmtId="0" fontId="16" fillId="3" borderId="5" xfId="0" applyFont="1" applyFill="1" applyBorder="1" applyAlignment="1">
      <alignment horizontal="center" vertical="center" wrapText="1"/>
    </xf>
    <xf numFmtId="0" fontId="16" fillId="3" borderId="5" xfId="0" applyFont="1" applyFill="1" applyBorder="1" applyAlignment="1">
      <alignment horizontal="center" vertical="center"/>
    </xf>
    <xf numFmtId="0" fontId="16" fillId="3" borderId="12" xfId="0" applyFont="1" applyFill="1" applyBorder="1" applyAlignment="1">
      <alignment horizontal="center" vertical="center"/>
    </xf>
    <xf numFmtId="0" fontId="16" fillId="3" borderId="6" xfId="0" applyFont="1" applyFill="1" applyBorder="1" applyAlignment="1">
      <alignment horizontal="center" vertical="center"/>
    </xf>
    <xf numFmtId="0" fontId="40" fillId="0" borderId="0" xfId="0" applyFont="1" applyAlignment="1">
      <alignment horizontal="left" vertical="top" wrapText="1"/>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10" xfId="0" applyFill="1" applyBorder="1" applyAlignment="1">
      <alignment horizontal="center" vertical="center" wrapText="1"/>
    </xf>
    <xf numFmtId="0" fontId="40" fillId="0" borderId="0" xfId="0" applyFont="1"/>
    <xf numFmtId="0" fontId="37" fillId="0" borderId="0" xfId="0" applyFont="1" applyAlignment="1">
      <alignment horizontal="left" vertical="top" wrapText="1"/>
    </xf>
    <xf numFmtId="0" fontId="37" fillId="0" borderId="0" xfId="0" applyFont="1" applyAlignment="1">
      <alignment horizontal="left"/>
    </xf>
    <xf numFmtId="0" fontId="16" fillId="3" borderId="4" xfId="0" applyFont="1" applyFill="1" applyBorder="1" applyAlignment="1">
      <alignment horizontal="center" vertical="center" wrapText="1"/>
    </xf>
    <xf numFmtId="0" fontId="16" fillId="3" borderId="7" xfId="0" applyFont="1" applyFill="1" applyBorder="1" applyAlignment="1">
      <alignment horizontal="center" vertical="center" wrapText="1"/>
    </xf>
    <xf numFmtId="0" fontId="16" fillId="3" borderId="13" xfId="0" applyFont="1" applyFill="1" applyBorder="1" applyAlignment="1">
      <alignment horizontal="center" vertical="center" wrapText="1"/>
    </xf>
    <xf numFmtId="0" fontId="16" fillId="3" borderId="14" xfId="0" applyFont="1" applyFill="1" applyBorder="1" applyAlignment="1">
      <alignment horizontal="center" vertical="center" wrapText="1"/>
    </xf>
    <xf numFmtId="0" fontId="0" fillId="3" borderId="6" xfId="0" applyFill="1" applyBorder="1" applyAlignment="1">
      <alignment horizontal="center" vertical="center" wrapText="1"/>
    </xf>
    <xf numFmtId="0" fontId="16" fillId="3" borderId="12" xfId="0" applyFont="1" applyFill="1" applyBorder="1" applyAlignment="1">
      <alignment horizontal="center" vertical="center" wrapText="1"/>
    </xf>
    <xf numFmtId="0" fontId="16" fillId="3" borderId="10" xfId="0" applyFont="1" applyFill="1" applyBorder="1" applyAlignment="1">
      <alignment horizontal="center" vertical="center" wrapText="1"/>
    </xf>
    <xf numFmtId="0" fontId="37" fillId="2" borderId="0" xfId="0" applyFont="1" applyFill="1"/>
    <xf numFmtId="0" fontId="0" fillId="3" borderId="12" xfId="0" applyFill="1" applyBorder="1" applyAlignment="1">
      <alignment horizontal="center" vertical="center"/>
    </xf>
    <xf numFmtId="0" fontId="0" fillId="3" borderId="10" xfId="0" applyFill="1" applyBorder="1" applyAlignment="1">
      <alignment horizontal="center" vertical="center"/>
    </xf>
    <xf numFmtId="0" fontId="0" fillId="3" borderId="5" xfId="0" applyFill="1" applyBorder="1" applyAlignment="1">
      <alignment horizontal="center" vertical="center"/>
    </xf>
    <xf numFmtId="0" fontId="41" fillId="0" borderId="0" xfId="0" applyFont="1"/>
    <xf numFmtId="0" fontId="0" fillId="3" borderId="4" xfId="0" applyFill="1" applyBorder="1" applyAlignment="1">
      <alignment horizontal="center" vertical="center"/>
    </xf>
    <xf numFmtId="0" fontId="16" fillId="2" borderId="0" xfId="0" applyFont="1" applyFill="1" applyAlignment="1">
      <alignment horizontal="center" vertical="center"/>
    </xf>
    <xf numFmtId="0" fontId="0" fillId="3" borderId="7" xfId="0" applyFill="1" applyBorder="1" applyAlignment="1">
      <alignment horizontal="center" vertical="center" wrapText="1"/>
    </xf>
    <xf numFmtId="0" fontId="0" fillId="3" borderId="9" xfId="0" applyFill="1" applyBorder="1" applyAlignment="1">
      <alignment horizontal="center" vertical="center" wrapText="1"/>
    </xf>
    <xf numFmtId="0" fontId="0" fillId="3" borderId="13" xfId="0" applyFill="1" applyBorder="1" applyAlignment="1">
      <alignment horizontal="center" vertical="center" wrapText="1"/>
    </xf>
    <xf numFmtId="0" fontId="0" fillId="3" borderId="15" xfId="0" applyFill="1" applyBorder="1" applyAlignment="1">
      <alignment horizontal="center" vertical="center" wrapText="1"/>
    </xf>
    <xf numFmtId="0" fontId="40" fillId="0" borderId="0" xfId="0" applyFont="1" applyAlignment="1">
      <alignment horizontal="left" vertical="center"/>
    </xf>
    <xf numFmtId="0" fontId="12" fillId="3" borderId="4" xfId="0" applyFont="1" applyFill="1" applyBorder="1" applyAlignment="1">
      <alignment horizontal="center" vertical="center" wrapText="1"/>
    </xf>
    <xf numFmtId="0" fontId="41" fillId="0" borderId="0" xfId="0" applyFont="1" applyAlignment="1">
      <alignment horizontal="left"/>
    </xf>
    <xf numFmtId="0" fontId="37" fillId="0" borderId="0" xfId="0" applyFont="1" applyAlignment="1">
      <alignment wrapText="1"/>
    </xf>
    <xf numFmtId="0" fontId="22" fillId="0" borderId="0" xfId="0" applyFont="1" applyAlignment="1">
      <alignment horizontal="left"/>
    </xf>
    <xf numFmtId="0" fontId="23" fillId="0" borderId="0" xfId="0" applyFont="1" applyAlignment="1">
      <alignment horizontal="center" vertical="center"/>
    </xf>
    <xf numFmtId="0" fontId="37" fillId="0" borderId="0" xfId="0" applyFont="1" applyAlignment="1">
      <alignment horizontal="left" vertical="center" wrapText="1"/>
    </xf>
    <xf numFmtId="0" fontId="37" fillId="0" borderId="0" xfId="0" applyFont="1" applyAlignment="1">
      <alignment horizontal="left" vertical="center"/>
    </xf>
    <xf numFmtId="0" fontId="16" fillId="3" borderId="10" xfId="0" applyFont="1" applyFill="1" applyBorder="1" applyAlignment="1">
      <alignment horizontal="center" vertical="center"/>
    </xf>
    <xf numFmtId="187" fontId="16" fillId="0" borderId="0" xfId="0" applyNumberFormat="1" applyFont="1" applyFill="1" applyBorder="1" applyAlignment="1">
      <alignment horizontal="right" vertical="center" indent="1"/>
    </xf>
    <xf numFmtId="187" fontId="16" fillId="0" borderId="2" xfId="0" applyNumberFormat="1" applyFont="1" applyFill="1" applyBorder="1" applyAlignment="1">
      <alignment horizontal="right" vertical="center" indent="1"/>
    </xf>
    <xf numFmtId="0" fontId="0" fillId="0" borderId="7" xfId="0" applyFont="1" applyFill="1" applyBorder="1" applyAlignment="1">
      <alignment horizontal="left" vertical="center" wrapText="1" indent="1"/>
    </xf>
    <xf numFmtId="0" fontId="0" fillId="0" borderId="8" xfId="0" applyFont="1" applyFill="1" applyBorder="1" applyAlignment="1">
      <alignment horizontal="left" vertical="center" wrapText="1" indent="1"/>
    </xf>
    <xf numFmtId="0" fontId="16" fillId="0" borderId="8" xfId="0" applyFont="1" applyFill="1" applyBorder="1" applyAlignment="1">
      <alignment horizontal="left" vertical="center" wrapText="1" indent="1"/>
    </xf>
    <xf numFmtId="0" fontId="16" fillId="0" borderId="9" xfId="0" applyFont="1" applyFill="1" applyBorder="1" applyAlignment="1">
      <alignment horizontal="left" vertical="center" wrapText="1" indent="1"/>
    </xf>
  </cellXfs>
  <cellStyles count="9">
    <cellStyle name="Link" xfId="3" builtinId="8"/>
    <cellStyle name="Prozent" xfId="8" builtinId="5"/>
    <cellStyle name="Standard" xfId="0" builtinId="0"/>
    <cellStyle name="Standard 2" xfId="1" xr:uid="{00000000-0005-0000-0000-000003000000}"/>
    <cellStyle name="Standard 2 2" xfId="2" xr:uid="{00000000-0005-0000-0000-000004000000}"/>
    <cellStyle name="Standard 3" xfId="5" xr:uid="{00000000-0005-0000-0000-000005000000}"/>
    <cellStyle name="Standard 3 4 4" xfId="7" xr:uid="{EA86F4B8-E65A-4F6F-A6AF-44FB59D5D01B}"/>
    <cellStyle name="Standard 4" xfId="6" xr:uid="{00000000-0005-0000-0000-000006000000}"/>
    <cellStyle name="Standard 5" xfId="4" xr:uid="{00000000-0005-0000-0000-000007000000}"/>
  </cellStyles>
  <dxfs count="0"/>
  <tableStyles count="0" defaultTableStyle="TableStyleMedium2" defaultPivotStyle="PivotStyleLight16"/>
  <colors>
    <mruColors>
      <color rgb="FF003063"/>
      <color rgb="FF000000"/>
      <color rgb="FFCFE9FB"/>
      <color rgb="FF77C8D2"/>
      <color rgb="FF71C8D2"/>
      <color rgb="FF008F9E"/>
      <color rgb="FF244061"/>
      <color rgb="FF5694CB"/>
      <color rgb="FFC4D5EB"/>
      <color rgb="FFA4C0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de-DE">
                <a:solidFill>
                  <a:sysClr val="windowText" lastClr="000000"/>
                </a:solidFill>
                <a:latin typeface="Arial Narrow" panose="020B0606020202030204" pitchFamily="34" charset="0"/>
              </a:rPr>
              <a:t>2000</a:t>
            </a:r>
          </a:p>
        </c:rich>
      </c:tx>
      <c:overlay val="1"/>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de-DE"/>
        </a:p>
      </c:txPr>
    </c:title>
    <c:autoTitleDeleted val="0"/>
    <c:plotArea>
      <c:layout>
        <c:manualLayout>
          <c:layoutTarget val="inner"/>
          <c:xMode val="edge"/>
          <c:yMode val="edge"/>
          <c:x val="0.16705040595079443"/>
          <c:y val="0.17958317861538978"/>
          <c:w val="0.71493777777777767"/>
          <c:h val="0.71493777777777767"/>
        </c:manualLayout>
      </c:layout>
      <c:doughnutChart>
        <c:varyColors val="1"/>
        <c:ser>
          <c:idx val="0"/>
          <c:order val="0"/>
          <c:tx>
            <c:strRef>
              <c:f>'Grafik 1'!$E$39</c:f>
              <c:strCache>
                <c:ptCount val="1"/>
                <c:pt idx="0">
                  <c:v>2000</c:v>
                </c:pt>
              </c:strCache>
            </c:strRef>
          </c:tx>
          <c:spPr>
            <a:ln w="6350">
              <a:solidFill>
                <a:schemeClr val="bg1"/>
              </a:solidFill>
            </a:ln>
          </c:spPr>
          <c:dPt>
            <c:idx val="0"/>
            <c:bubble3D val="0"/>
            <c:spPr>
              <a:solidFill>
                <a:schemeClr val="accent1"/>
              </a:solidFill>
              <a:ln w="6350">
                <a:solidFill>
                  <a:schemeClr val="bg1"/>
                </a:solidFill>
              </a:ln>
              <a:effectLst/>
            </c:spPr>
            <c:extLst>
              <c:ext xmlns:c16="http://schemas.microsoft.com/office/drawing/2014/chart" uri="{C3380CC4-5D6E-409C-BE32-E72D297353CC}">
                <c16:uniqueId val="{00000001-7178-4987-9233-0AF79067E2BF}"/>
              </c:ext>
            </c:extLst>
          </c:dPt>
          <c:dPt>
            <c:idx val="1"/>
            <c:bubble3D val="0"/>
            <c:spPr>
              <a:solidFill>
                <a:schemeClr val="accent2"/>
              </a:solidFill>
              <a:ln w="6350">
                <a:solidFill>
                  <a:schemeClr val="bg1"/>
                </a:solidFill>
              </a:ln>
              <a:effectLst/>
            </c:spPr>
            <c:extLst>
              <c:ext xmlns:c16="http://schemas.microsoft.com/office/drawing/2014/chart" uri="{C3380CC4-5D6E-409C-BE32-E72D297353CC}">
                <c16:uniqueId val="{00000003-7178-4987-9233-0AF79067E2BF}"/>
              </c:ext>
            </c:extLst>
          </c:dPt>
          <c:dPt>
            <c:idx val="2"/>
            <c:bubble3D val="0"/>
            <c:spPr>
              <a:solidFill>
                <a:schemeClr val="accent3"/>
              </a:solidFill>
              <a:ln w="6350">
                <a:solidFill>
                  <a:schemeClr val="bg1"/>
                </a:solidFill>
              </a:ln>
              <a:effectLst/>
            </c:spPr>
            <c:extLst>
              <c:ext xmlns:c16="http://schemas.microsoft.com/office/drawing/2014/chart" uri="{C3380CC4-5D6E-409C-BE32-E72D297353CC}">
                <c16:uniqueId val="{00000005-7178-4987-9233-0AF79067E2BF}"/>
              </c:ext>
            </c:extLst>
          </c:dPt>
          <c:dPt>
            <c:idx val="3"/>
            <c:bubble3D val="0"/>
            <c:spPr>
              <a:solidFill>
                <a:schemeClr val="accent4"/>
              </a:solidFill>
              <a:ln w="6350">
                <a:solidFill>
                  <a:schemeClr val="bg1"/>
                </a:solidFill>
              </a:ln>
              <a:effectLst/>
            </c:spPr>
            <c:extLst>
              <c:ext xmlns:c16="http://schemas.microsoft.com/office/drawing/2014/chart" uri="{C3380CC4-5D6E-409C-BE32-E72D297353CC}">
                <c16:uniqueId val="{00000007-7178-4987-9233-0AF79067E2BF}"/>
              </c:ext>
            </c:extLst>
          </c:dPt>
          <c:dPt>
            <c:idx val="4"/>
            <c:bubble3D val="0"/>
            <c:spPr>
              <a:solidFill>
                <a:schemeClr val="accent5"/>
              </a:solidFill>
              <a:ln w="6350">
                <a:solidFill>
                  <a:schemeClr val="bg1"/>
                </a:solidFill>
              </a:ln>
              <a:effectLst/>
            </c:spPr>
            <c:extLst>
              <c:ext xmlns:c16="http://schemas.microsoft.com/office/drawing/2014/chart" uri="{C3380CC4-5D6E-409C-BE32-E72D297353CC}">
                <c16:uniqueId val="{00000009-7178-4987-9233-0AF79067E2BF}"/>
              </c:ext>
            </c:extLst>
          </c:dPt>
          <c:dPt>
            <c:idx val="5"/>
            <c:bubble3D val="0"/>
            <c:spPr>
              <a:solidFill>
                <a:schemeClr val="accent6"/>
              </a:solidFill>
              <a:ln w="6350">
                <a:solidFill>
                  <a:schemeClr val="bg1"/>
                </a:solidFill>
              </a:ln>
              <a:effectLst/>
            </c:spPr>
            <c:extLst>
              <c:ext xmlns:c16="http://schemas.microsoft.com/office/drawing/2014/chart" uri="{C3380CC4-5D6E-409C-BE32-E72D297353CC}">
                <c16:uniqueId val="{0000000B-7178-4987-9233-0AF79067E2BF}"/>
              </c:ext>
            </c:extLst>
          </c:dPt>
          <c:dPt>
            <c:idx val="6"/>
            <c:bubble3D val="0"/>
            <c:spPr>
              <a:solidFill>
                <a:schemeClr val="accent1">
                  <a:lumMod val="60000"/>
                </a:schemeClr>
              </a:solidFill>
              <a:ln w="6350">
                <a:solidFill>
                  <a:schemeClr val="bg1"/>
                </a:solidFill>
              </a:ln>
              <a:effectLst/>
            </c:spPr>
            <c:extLst>
              <c:ext xmlns:c16="http://schemas.microsoft.com/office/drawing/2014/chart" uri="{C3380CC4-5D6E-409C-BE32-E72D297353CC}">
                <c16:uniqueId val="{0000000D-7178-4987-9233-0AF79067E2BF}"/>
              </c:ext>
            </c:extLst>
          </c:dPt>
          <c:dPt>
            <c:idx val="7"/>
            <c:bubble3D val="0"/>
            <c:spPr>
              <a:solidFill>
                <a:schemeClr val="accent2">
                  <a:lumMod val="60000"/>
                </a:schemeClr>
              </a:solidFill>
              <a:ln w="6350">
                <a:solidFill>
                  <a:schemeClr val="bg1"/>
                </a:solidFill>
              </a:ln>
              <a:effectLst/>
            </c:spPr>
            <c:extLst>
              <c:ext xmlns:c16="http://schemas.microsoft.com/office/drawing/2014/chart" uri="{C3380CC4-5D6E-409C-BE32-E72D297353CC}">
                <c16:uniqueId val="{0000000F-7178-4987-9233-0AF79067E2BF}"/>
              </c:ext>
            </c:extLst>
          </c:dPt>
          <c:dPt>
            <c:idx val="8"/>
            <c:bubble3D val="0"/>
            <c:spPr>
              <a:solidFill>
                <a:schemeClr val="accent3">
                  <a:lumMod val="60000"/>
                </a:schemeClr>
              </a:solidFill>
              <a:ln w="6350">
                <a:solidFill>
                  <a:schemeClr val="bg1"/>
                </a:solidFill>
              </a:ln>
              <a:effectLst/>
            </c:spPr>
            <c:extLst>
              <c:ext xmlns:c16="http://schemas.microsoft.com/office/drawing/2014/chart" uri="{C3380CC4-5D6E-409C-BE32-E72D297353CC}">
                <c16:uniqueId val="{00000011-7178-4987-9233-0AF79067E2BF}"/>
              </c:ext>
            </c:extLst>
          </c:dPt>
          <c:dPt>
            <c:idx val="9"/>
            <c:bubble3D val="0"/>
            <c:spPr>
              <a:solidFill>
                <a:schemeClr val="accent4">
                  <a:lumMod val="60000"/>
                </a:schemeClr>
              </a:solidFill>
              <a:ln w="6350">
                <a:solidFill>
                  <a:schemeClr val="bg1"/>
                </a:solidFill>
              </a:ln>
              <a:effectLst/>
            </c:spPr>
            <c:extLst>
              <c:ext xmlns:c16="http://schemas.microsoft.com/office/drawing/2014/chart" uri="{C3380CC4-5D6E-409C-BE32-E72D297353CC}">
                <c16:uniqueId val="{00000013-7178-4987-9233-0AF79067E2BF}"/>
              </c:ext>
            </c:extLst>
          </c:dPt>
          <c:dPt>
            <c:idx val="10"/>
            <c:bubble3D val="0"/>
            <c:spPr>
              <a:solidFill>
                <a:schemeClr val="accent5">
                  <a:lumMod val="60000"/>
                </a:schemeClr>
              </a:solidFill>
              <a:ln w="6350">
                <a:solidFill>
                  <a:schemeClr val="bg1"/>
                </a:solidFill>
              </a:ln>
              <a:effectLst/>
            </c:spPr>
            <c:extLst>
              <c:ext xmlns:c16="http://schemas.microsoft.com/office/drawing/2014/chart" uri="{C3380CC4-5D6E-409C-BE32-E72D297353CC}">
                <c16:uniqueId val="{00000015-7178-4987-9233-0AF79067E2BF}"/>
              </c:ext>
            </c:extLst>
          </c:dPt>
          <c:dPt>
            <c:idx val="11"/>
            <c:bubble3D val="0"/>
            <c:spPr>
              <a:solidFill>
                <a:schemeClr val="accent6">
                  <a:lumMod val="60000"/>
                </a:schemeClr>
              </a:solidFill>
              <a:ln w="6350">
                <a:solidFill>
                  <a:schemeClr val="bg1"/>
                </a:solidFill>
              </a:ln>
              <a:effectLst/>
            </c:spPr>
            <c:extLst>
              <c:ext xmlns:c16="http://schemas.microsoft.com/office/drawing/2014/chart" uri="{C3380CC4-5D6E-409C-BE32-E72D297353CC}">
                <c16:uniqueId val="{00000017-7178-4987-9233-0AF79067E2BF}"/>
              </c:ext>
            </c:extLst>
          </c:dPt>
          <c:dPt>
            <c:idx val="12"/>
            <c:bubble3D val="0"/>
            <c:spPr>
              <a:solidFill>
                <a:schemeClr val="accent1">
                  <a:lumMod val="80000"/>
                  <a:lumOff val="20000"/>
                </a:schemeClr>
              </a:solidFill>
              <a:ln w="6350">
                <a:solidFill>
                  <a:schemeClr val="bg1"/>
                </a:solidFill>
              </a:ln>
              <a:effectLst/>
            </c:spPr>
            <c:extLst>
              <c:ext xmlns:c16="http://schemas.microsoft.com/office/drawing/2014/chart" uri="{C3380CC4-5D6E-409C-BE32-E72D297353CC}">
                <c16:uniqueId val="{00000019-7178-4987-9233-0AF79067E2BF}"/>
              </c:ext>
            </c:extLst>
          </c:dPt>
          <c:dLbls>
            <c:dLbl>
              <c:idx val="0"/>
              <c:layout>
                <c:manualLayout>
                  <c:x val="0.33640289583034372"/>
                  <c:y val="-0.21732620056844432"/>
                </c:manualLayout>
              </c:layout>
              <c:numFmt formatCode="0.0&quot; %&quot;" sourceLinked="0"/>
              <c:spPr>
                <a:noFill/>
                <a:ln>
                  <a:noFill/>
                </a:ln>
                <a:effectLst/>
              </c:spPr>
              <c:txPr>
                <a:bodyPr rot="0" spcFirstLastPara="1" vertOverflow="ellipsis" vert="horz" wrap="square" lIns="38100" tIns="19050" rIns="38100" bIns="19050" anchor="ctr" anchorCtr="0">
                  <a:noAutofit/>
                </a:bodyPr>
                <a:lstStyle/>
                <a:p>
                  <a:pPr algn="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de-DE"/>
                </a:p>
              </c:txPr>
              <c:showLegendKey val="0"/>
              <c:showVal val="1"/>
              <c:showCatName val="1"/>
              <c:showSerName val="0"/>
              <c:showPercent val="0"/>
              <c:showBubbleSize val="0"/>
              <c:extLst>
                <c:ext xmlns:c15="http://schemas.microsoft.com/office/drawing/2012/chart" uri="{CE6537A1-D6FC-4f65-9D91-7224C49458BB}">
                  <c15:layout>
                    <c:manualLayout>
                      <c:w val="0.24791804751635946"/>
                      <c:h val="0.13705661308249831"/>
                    </c:manualLayout>
                  </c15:layout>
                </c:ext>
                <c:ext xmlns:c16="http://schemas.microsoft.com/office/drawing/2014/chart" uri="{C3380CC4-5D6E-409C-BE32-E72D297353CC}">
                  <c16:uniqueId val="{00000001-7178-4987-9233-0AF79067E2BF}"/>
                </c:ext>
              </c:extLst>
            </c:dLbl>
            <c:dLbl>
              <c:idx val="1"/>
              <c:layout>
                <c:manualLayout>
                  <c:x val="0.18563243456287795"/>
                  <c:y val="-9.8724239863089161E-2"/>
                </c:manualLayout>
              </c:layout>
              <c:numFmt formatCode="0.0&quot; %&quot;" sourceLinked="0"/>
              <c:spPr>
                <a:noFill/>
                <a:ln>
                  <a:noFill/>
                </a:ln>
                <a:effectLst/>
              </c:spPr>
              <c:txPr>
                <a:bodyPr rot="0" spcFirstLastPara="1" vertOverflow="ellipsis" vert="horz" wrap="square" lIns="0" tIns="19050" rIns="0" bIns="19050" anchor="ctr" anchorCtr="0">
                  <a:noAutofit/>
                </a:bodyPr>
                <a:lstStyle/>
                <a:p>
                  <a:pPr algn="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de-DE"/>
                </a:p>
              </c:txPr>
              <c:showLegendKey val="0"/>
              <c:showVal val="1"/>
              <c:showCatName val="1"/>
              <c:showSerName val="0"/>
              <c:showPercent val="0"/>
              <c:showBubbleSize val="0"/>
              <c:extLst>
                <c:ext xmlns:c15="http://schemas.microsoft.com/office/drawing/2012/chart" uri="{CE6537A1-D6FC-4f65-9D91-7224C49458BB}">
                  <c15:layout>
                    <c:manualLayout>
                      <c:w val="0.22207812674882177"/>
                      <c:h val="0.17725384991667328"/>
                    </c:manualLayout>
                  </c15:layout>
                </c:ext>
                <c:ext xmlns:c16="http://schemas.microsoft.com/office/drawing/2014/chart" uri="{C3380CC4-5D6E-409C-BE32-E72D297353CC}">
                  <c16:uniqueId val="{00000003-7178-4987-9233-0AF79067E2BF}"/>
                </c:ext>
              </c:extLst>
            </c:dLbl>
            <c:dLbl>
              <c:idx val="2"/>
              <c:layout>
                <c:manualLayout>
                  <c:x val="0.14542415896562505"/>
                  <c:y val="0.2326985368424446"/>
                </c:manualLayout>
              </c:layout>
              <c:numFmt formatCode="0.0&quot; %&quot;" sourceLinked="0"/>
              <c:spPr>
                <a:noFill/>
                <a:ln>
                  <a:noFill/>
                </a:ln>
                <a:effectLst/>
              </c:spPr>
              <c:txPr>
                <a:bodyPr rot="0" spcFirstLastPara="1" vertOverflow="ellipsis" vert="horz" wrap="square" lIns="38100" tIns="19050" rIns="38100" bIns="19050" anchor="ctr" anchorCtr="0">
                  <a:noAutofit/>
                </a:bodyPr>
                <a:lstStyle/>
                <a:p>
                  <a:pPr algn="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de-DE"/>
                </a:p>
              </c:txPr>
              <c:showLegendKey val="0"/>
              <c:showVal val="1"/>
              <c:showCatName val="1"/>
              <c:showSerName val="0"/>
              <c:showPercent val="0"/>
              <c:showBubbleSize val="0"/>
              <c:extLst>
                <c:ext xmlns:c15="http://schemas.microsoft.com/office/drawing/2012/chart" uri="{CE6537A1-D6FC-4f65-9D91-7224C49458BB}">
                  <c15:layout>
                    <c:manualLayout>
                      <c:w val="0.19531151546180453"/>
                      <c:h val="0.11481684620680396"/>
                    </c:manualLayout>
                  </c15:layout>
                </c:ext>
                <c:ext xmlns:c16="http://schemas.microsoft.com/office/drawing/2014/chart" uri="{C3380CC4-5D6E-409C-BE32-E72D297353CC}">
                  <c16:uniqueId val="{00000005-7178-4987-9233-0AF79067E2BF}"/>
                </c:ext>
              </c:extLst>
            </c:dLbl>
            <c:dLbl>
              <c:idx val="3"/>
              <c:layout>
                <c:manualLayout>
                  <c:x val="0.17364945499489573"/>
                  <c:y val="0.20003716390080614"/>
                </c:manualLayout>
              </c:layout>
              <c:numFmt formatCode="0.0&quot; %&quot;" sourceLinked="0"/>
              <c:spPr>
                <a:noFill/>
                <a:ln>
                  <a:noFill/>
                </a:ln>
                <a:effectLst/>
              </c:spPr>
              <c:txPr>
                <a:bodyPr rot="0" spcFirstLastPara="1" vertOverflow="overflow" horzOverflow="overflow" vert="horz" wrap="square" lIns="0" tIns="0" rIns="0" bIns="0" anchor="ctr" anchorCtr="0">
                  <a:noAutofit/>
                </a:bodyPr>
                <a:lstStyle/>
                <a:p>
                  <a:pPr algn="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de-DE"/>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3851158898808608"/>
                      <c:h val="0.19694109105384064"/>
                    </c:manualLayout>
                  </c15:layout>
                </c:ext>
                <c:ext xmlns:c16="http://schemas.microsoft.com/office/drawing/2014/chart" uri="{C3380CC4-5D6E-409C-BE32-E72D297353CC}">
                  <c16:uniqueId val="{00000007-7178-4987-9233-0AF79067E2BF}"/>
                </c:ext>
              </c:extLst>
            </c:dLbl>
            <c:dLbl>
              <c:idx val="4"/>
              <c:layout>
                <c:manualLayout>
                  <c:x val="-0.13748907184628498"/>
                  <c:y val="0.21116579909984035"/>
                </c:manualLayout>
              </c:layout>
              <c:numFmt formatCode="0.0&quot; %&quot;" sourceLinked="0"/>
              <c:spPr>
                <a:noFill/>
                <a:ln>
                  <a:noFill/>
                </a:ln>
                <a:effectLst/>
              </c:spPr>
              <c:txPr>
                <a:bodyPr rot="0" spcFirstLastPara="1" vertOverflow="ellipsis" vert="horz" wrap="square" lIns="38100" tIns="19050" rIns="38100" bIns="19050" anchor="ctr" anchorCtr="0">
                  <a:noAutofit/>
                </a:bodyPr>
                <a:lstStyle/>
                <a:p>
                  <a:pPr algn="l">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de-DE"/>
                </a:p>
              </c:txPr>
              <c:showLegendKey val="0"/>
              <c:showVal val="1"/>
              <c:showCatName val="1"/>
              <c:showSerName val="0"/>
              <c:showPercent val="0"/>
              <c:showBubbleSize val="0"/>
              <c:extLst>
                <c:ext xmlns:c15="http://schemas.microsoft.com/office/drawing/2012/chart" uri="{CE6537A1-D6FC-4f65-9D91-7224C49458BB}">
                  <c15:layout>
                    <c:manualLayout>
                      <c:w val="0.4648935969265563"/>
                      <c:h val="0.1700988286610125"/>
                    </c:manualLayout>
                  </c15:layout>
                </c:ext>
                <c:ext xmlns:c16="http://schemas.microsoft.com/office/drawing/2014/chart" uri="{C3380CC4-5D6E-409C-BE32-E72D297353CC}">
                  <c16:uniqueId val="{00000009-7178-4987-9233-0AF79067E2BF}"/>
                </c:ext>
              </c:extLst>
            </c:dLbl>
            <c:dLbl>
              <c:idx val="5"/>
              <c:layout>
                <c:manualLayout>
                  <c:x val="-0.21666176585431593"/>
                  <c:y val="-0.22953786983658442"/>
                </c:manualLayout>
              </c:layout>
              <c:numFmt formatCode="0.0&quot; %&quot;" sourceLinked="0"/>
              <c:spPr>
                <a:noFill/>
                <a:ln>
                  <a:noFill/>
                </a:ln>
                <a:effectLst/>
              </c:spPr>
              <c:txPr>
                <a:bodyPr rot="0" spcFirstLastPara="1" vertOverflow="ellipsis" vert="horz" wrap="square" lIns="38100" tIns="19050" rIns="38100" bIns="19050" anchor="ctr" anchorCtr="0">
                  <a:noAutofit/>
                </a:bodyPr>
                <a:lstStyle/>
                <a:p>
                  <a:pPr algn="l">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de-DE"/>
                </a:p>
              </c:txPr>
              <c:showLegendKey val="0"/>
              <c:showVal val="1"/>
              <c:showCatName val="1"/>
              <c:showSerName val="0"/>
              <c:showPercent val="0"/>
              <c:showBubbleSize val="0"/>
              <c:extLst>
                <c:ext xmlns:c15="http://schemas.microsoft.com/office/drawing/2012/chart" uri="{CE6537A1-D6FC-4f65-9D91-7224C49458BB}">
                  <c15:layout>
                    <c:manualLayout>
                      <c:w val="0.23428354587259032"/>
                      <c:h val="0.24503845361388282"/>
                    </c:manualLayout>
                  </c15:layout>
                </c:ext>
                <c:ext xmlns:c16="http://schemas.microsoft.com/office/drawing/2014/chart" uri="{C3380CC4-5D6E-409C-BE32-E72D297353CC}">
                  <c16:uniqueId val="{0000000B-7178-4987-9233-0AF79067E2BF}"/>
                </c:ext>
              </c:extLst>
            </c:dLbl>
            <c:numFmt formatCode="0.0&quot; %&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de-DE"/>
              </a:p>
            </c:txPr>
            <c:showLegendKey val="0"/>
            <c:showVal val="1"/>
            <c:showCatName val="1"/>
            <c:showSerName val="0"/>
            <c:showPercent val="0"/>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'Grafik 1'!$D$41:$D$46</c:f>
              <c:strCache>
                <c:ptCount val="6"/>
                <c:pt idx="0">
                  <c:v>Land- und Forstwirtschaft, Fischerei</c:v>
                </c:pt>
                <c:pt idx="1">
                  <c:v>Produzierendes Gewerbe ohne Baugewerbe</c:v>
                </c:pt>
                <c:pt idx="2">
                  <c:v>Baugewerbe</c:v>
                </c:pt>
                <c:pt idx="3">
                  <c:v>Handel, Verkehr und Lagerei, Gastgewerbe, Information und Kommunikation</c:v>
                </c:pt>
                <c:pt idx="4">
                  <c:v>Finanz-, Versicherungs- und Unternehmensdienstleister, Grundstücks- und Wohnungswesen</c:v>
                </c:pt>
                <c:pt idx="5">
                  <c:v>Öffentliche und sonstige Dienstleister, Erziehung und Gesundheit</c:v>
                </c:pt>
              </c:strCache>
            </c:strRef>
          </c:cat>
          <c:val>
            <c:numRef>
              <c:f>'Grafik 1'!$E$41:$E$46</c:f>
              <c:numCache>
                <c:formatCode>#,##0.0</c:formatCode>
                <c:ptCount val="6"/>
                <c:pt idx="0">
                  <c:v>2.0726432180766938</c:v>
                </c:pt>
                <c:pt idx="1">
                  <c:v>19.530956257802622</c:v>
                </c:pt>
                <c:pt idx="2">
                  <c:v>4.7050066896386156</c:v>
                </c:pt>
                <c:pt idx="3">
                  <c:v>22.310208957623633</c:v>
                </c:pt>
                <c:pt idx="4">
                  <c:v>25.600024877223095</c:v>
                </c:pt>
                <c:pt idx="5">
                  <c:v>25.781159999635339</c:v>
                </c:pt>
              </c:numCache>
            </c:numRef>
          </c:val>
          <c:extLst>
            <c:ext xmlns:c16="http://schemas.microsoft.com/office/drawing/2014/chart" uri="{C3380CC4-5D6E-409C-BE32-E72D297353CC}">
              <c16:uniqueId val="{0000001A-7178-4987-9233-0AF79067E2BF}"/>
            </c:ext>
          </c:extLst>
        </c:ser>
        <c:dLbls>
          <c:showLegendKey val="0"/>
          <c:showVal val="1"/>
          <c:showCatName val="0"/>
          <c:showSerName val="0"/>
          <c:showPercent val="0"/>
          <c:showBubbleSize val="0"/>
          <c:showLeaderLines val="1"/>
        </c:dLbls>
        <c:firstSliceAng val="0"/>
        <c:holeSize val="30"/>
      </c:doughnutChart>
      <c:spPr>
        <a:noFill/>
        <a:ln>
          <a:noFill/>
        </a:ln>
        <a:effectLst/>
      </c:spPr>
    </c:plotArea>
    <c:plotVisOnly val="1"/>
    <c:dispBlanksAs val="gap"/>
    <c:showDLblsOverMax val="0"/>
  </c:chart>
  <c:spPr>
    <a:solidFill>
      <a:schemeClr val="bg1"/>
    </a:solidFill>
    <a:ln w="3175" cap="flat" cmpd="sng" algn="ctr">
      <a:noFill/>
      <a:round/>
    </a:ln>
    <a:effectLst/>
  </c:spPr>
  <c:txPr>
    <a:bodyPr/>
    <a:lstStyle/>
    <a:p>
      <a:pPr>
        <a:defRPr>
          <a:latin typeface="Arial Narrow" panose="020B0606020202030204" pitchFamily="34" charset="0"/>
        </a:defRPr>
      </a:pPr>
      <a:endParaRPr lang="de-DE"/>
    </a:p>
  </c:txPr>
  <c:printSettings>
    <c:headerFooter/>
    <c:pageMargins b="0.78740157499999996" l="0.7" r="0.7" t="0.78740157499999996"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de-DE">
                <a:solidFill>
                  <a:sysClr val="windowText" lastClr="000000"/>
                </a:solidFill>
                <a:latin typeface="Arial Narrow" panose="020B0606020202030204" pitchFamily="34" charset="0"/>
              </a:rPr>
              <a:t>2024</a:t>
            </a:r>
          </a:p>
        </c:rich>
      </c:tx>
      <c:overlay val="1"/>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de-DE"/>
        </a:p>
      </c:txPr>
    </c:title>
    <c:autoTitleDeleted val="0"/>
    <c:plotArea>
      <c:layout>
        <c:manualLayout>
          <c:layoutTarget val="inner"/>
          <c:xMode val="edge"/>
          <c:yMode val="edge"/>
          <c:x val="0.16705040595079443"/>
          <c:y val="0.17958317861538978"/>
          <c:w val="0.71493777777777767"/>
          <c:h val="0.71493777777777767"/>
        </c:manualLayout>
      </c:layout>
      <c:doughnutChart>
        <c:varyColors val="1"/>
        <c:ser>
          <c:idx val="0"/>
          <c:order val="0"/>
          <c:tx>
            <c:strRef>
              <c:f>'Grafik 1'!$F$39</c:f>
              <c:strCache>
                <c:ptCount val="1"/>
                <c:pt idx="0">
                  <c:v>2024</c:v>
                </c:pt>
              </c:strCache>
            </c:strRef>
          </c:tx>
          <c:spPr>
            <a:ln w="6350">
              <a:solidFill>
                <a:schemeClr val="bg1"/>
              </a:solidFill>
            </a:ln>
          </c:spPr>
          <c:dPt>
            <c:idx val="0"/>
            <c:bubble3D val="0"/>
            <c:spPr>
              <a:solidFill>
                <a:schemeClr val="accent1"/>
              </a:solidFill>
              <a:ln w="6350">
                <a:solidFill>
                  <a:schemeClr val="bg1"/>
                </a:solidFill>
              </a:ln>
              <a:effectLst/>
            </c:spPr>
            <c:extLst>
              <c:ext xmlns:c16="http://schemas.microsoft.com/office/drawing/2014/chart" uri="{C3380CC4-5D6E-409C-BE32-E72D297353CC}">
                <c16:uniqueId val="{00000001-F1DA-4433-8EB0-87273E2A8F9F}"/>
              </c:ext>
            </c:extLst>
          </c:dPt>
          <c:dPt>
            <c:idx val="1"/>
            <c:bubble3D val="0"/>
            <c:spPr>
              <a:solidFill>
                <a:schemeClr val="accent2"/>
              </a:solidFill>
              <a:ln w="6350">
                <a:solidFill>
                  <a:schemeClr val="bg1"/>
                </a:solidFill>
              </a:ln>
              <a:effectLst/>
            </c:spPr>
            <c:extLst>
              <c:ext xmlns:c16="http://schemas.microsoft.com/office/drawing/2014/chart" uri="{C3380CC4-5D6E-409C-BE32-E72D297353CC}">
                <c16:uniqueId val="{00000003-F1DA-4433-8EB0-87273E2A8F9F}"/>
              </c:ext>
            </c:extLst>
          </c:dPt>
          <c:dPt>
            <c:idx val="2"/>
            <c:bubble3D val="0"/>
            <c:spPr>
              <a:solidFill>
                <a:schemeClr val="accent3"/>
              </a:solidFill>
              <a:ln w="6350">
                <a:solidFill>
                  <a:schemeClr val="bg1"/>
                </a:solidFill>
              </a:ln>
              <a:effectLst/>
            </c:spPr>
            <c:extLst>
              <c:ext xmlns:c16="http://schemas.microsoft.com/office/drawing/2014/chart" uri="{C3380CC4-5D6E-409C-BE32-E72D297353CC}">
                <c16:uniqueId val="{00000005-F1DA-4433-8EB0-87273E2A8F9F}"/>
              </c:ext>
            </c:extLst>
          </c:dPt>
          <c:dPt>
            <c:idx val="3"/>
            <c:bubble3D val="0"/>
            <c:spPr>
              <a:solidFill>
                <a:schemeClr val="accent4"/>
              </a:solidFill>
              <a:ln w="6350">
                <a:solidFill>
                  <a:schemeClr val="bg1"/>
                </a:solidFill>
              </a:ln>
              <a:effectLst/>
            </c:spPr>
            <c:extLst>
              <c:ext xmlns:c16="http://schemas.microsoft.com/office/drawing/2014/chart" uri="{C3380CC4-5D6E-409C-BE32-E72D297353CC}">
                <c16:uniqueId val="{00000007-F1DA-4433-8EB0-87273E2A8F9F}"/>
              </c:ext>
            </c:extLst>
          </c:dPt>
          <c:dPt>
            <c:idx val="4"/>
            <c:bubble3D val="0"/>
            <c:spPr>
              <a:solidFill>
                <a:schemeClr val="accent5"/>
              </a:solidFill>
              <a:ln w="6350">
                <a:solidFill>
                  <a:schemeClr val="bg1"/>
                </a:solidFill>
              </a:ln>
              <a:effectLst/>
            </c:spPr>
            <c:extLst>
              <c:ext xmlns:c16="http://schemas.microsoft.com/office/drawing/2014/chart" uri="{C3380CC4-5D6E-409C-BE32-E72D297353CC}">
                <c16:uniqueId val="{00000009-F1DA-4433-8EB0-87273E2A8F9F}"/>
              </c:ext>
            </c:extLst>
          </c:dPt>
          <c:dPt>
            <c:idx val="5"/>
            <c:bubble3D val="0"/>
            <c:spPr>
              <a:solidFill>
                <a:schemeClr val="accent6"/>
              </a:solidFill>
              <a:ln w="6350">
                <a:solidFill>
                  <a:schemeClr val="bg1"/>
                </a:solidFill>
              </a:ln>
              <a:effectLst/>
            </c:spPr>
            <c:extLst>
              <c:ext xmlns:c16="http://schemas.microsoft.com/office/drawing/2014/chart" uri="{C3380CC4-5D6E-409C-BE32-E72D297353CC}">
                <c16:uniqueId val="{0000000B-F1DA-4433-8EB0-87273E2A8F9F}"/>
              </c:ext>
            </c:extLst>
          </c:dPt>
          <c:dPt>
            <c:idx val="6"/>
            <c:bubble3D val="0"/>
            <c:spPr>
              <a:solidFill>
                <a:schemeClr val="accent1">
                  <a:lumMod val="60000"/>
                </a:schemeClr>
              </a:solidFill>
              <a:ln w="6350">
                <a:solidFill>
                  <a:schemeClr val="bg1"/>
                </a:solidFill>
              </a:ln>
              <a:effectLst/>
            </c:spPr>
            <c:extLst>
              <c:ext xmlns:c16="http://schemas.microsoft.com/office/drawing/2014/chart" uri="{C3380CC4-5D6E-409C-BE32-E72D297353CC}">
                <c16:uniqueId val="{0000000D-F1DA-4433-8EB0-87273E2A8F9F}"/>
              </c:ext>
            </c:extLst>
          </c:dPt>
          <c:dPt>
            <c:idx val="7"/>
            <c:bubble3D val="0"/>
            <c:spPr>
              <a:solidFill>
                <a:schemeClr val="accent2">
                  <a:lumMod val="60000"/>
                </a:schemeClr>
              </a:solidFill>
              <a:ln w="6350">
                <a:solidFill>
                  <a:schemeClr val="bg1"/>
                </a:solidFill>
              </a:ln>
              <a:effectLst/>
            </c:spPr>
            <c:extLst>
              <c:ext xmlns:c16="http://schemas.microsoft.com/office/drawing/2014/chart" uri="{C3380CC4-5D6E-409C-BE32-E72D297353CC}">
                <c16:uniqueId val="{0000000F-F1DA-4433-8EB0-87273E2A8F9F}"/>
              </c:ext>
            </c:extLst>
          </c:dPt>
          <c:dPt>
            <c:idx val="8"/>
            <c:bubble3D val="0"/>
            <c:spPr>
              <a:solidFill>
                <a:schemeClr val="accent3">
                  <a:lumMod val="60000"/>
                </a:schemeClr>
              </a:solidFill>
              <a:ln w="6350">
                <a:solidFill>
                  <a:schemeClr val="bg1"/>
                </a:solidFill>
              </a:ln>
              <a:effectLst/>
            </c:spPr>
            <c:extLst>
              <c:ext xmlns:c16="http://schemas.microsoft.com/office/drawing/2014/chart" uri="{C3380CC4-5D6E-409C-BE32-E72D297353CC}">
                <c16:uniqueId val="{00000011-F1DA-4433-8EB0-87273E2A8F9F}"/>
              </c:ext>
            </c:extLst>
          </c:dPt>
          <c:dPt>
            <c:idx val="9"/>
            <c:bubble3D val="0"/>
            <c:spPr>
              <a:solidFill>
                <a:schemeClr val="accent4">
                  <a:lumMod val="60000"/>
                </a:schemeClr>
              </a:solidFill>
              <a:ln w="6350">
                <a:solidFill>
                  <a:schemeClr val="bg1"/>
                </a:solidFill>
              </a:ln>
              <a:effectLst/>
            </c:spPr>
            <c:extLst>
              <c:ext xmlns:c16="http://schemas.microsoft.com/office/drawing/2014/chart" uri="{C3380CC4-5D6E-409C-BE32-E72D297353CC}">
                <c16:uniqueId val="{00000013-F1DA-4433-8EB0-87273E2A8F9F}"/>
              </c:ext>
            </c:extLst>
          </c:dPt>
          <c:dPt>
            <c:idx val="10"/>
            <c:bubble3D val="0"/>
            <c:spPr>
              <a:solidFill>
                <a:schemeClr val="accent5">
                  <a:lumMod val="60000"/>
                </a:schemeClr>
              </a:solidFill>
              <a:ln w="6350">
                <a:solidFill>
                  <a:schemeClr val="bg1"/>
                </a:solidFill>
              </a:ln>
              <a:effectLst/>
            </c:spPr>
            <c:extLst>
              <c:ext xmlns:c16="http://schemas.microsoft.com/office/drawing/2014/chart" uri="{C3380CC4-5D6E-409C-BE32-E72D297353CC}">
                <c16:uniqueId val="{00000015-F1DA-4433-8EB0-87273E2A8F9F}"/>
              </c:ext>
            </c:extLst>
          </c:dPt>
          <c:dPt>
            <c:idx val="11"/>
            <c:bubble3D val="0"/>
            <c:spPr>
              <a:solidFill>
                <a:schemeClr val="accent6">
                  <a:lumMod val="60000"/>
                </a:schemeClr>
              </a:solidFill>
              <a:ln w="6350">
                <a:solidFill>
                  <a:schemeClr val="bg1"/>
                </a:solidFill>
              </a:ln>
              <a:effectLst/>
            </c:spPr>
            <c:extLst>
              <c:ext xmlns:c16="http://schemas.microsoft.com/office/drawing/2014/chart" uri="{C3380CC4-5D6E-409C-BE32-E72D297353CC}">
                <c16:uniqueId val="{00000017-F1DA-4433-8EB0-87273E2A8F9F}"/>
              </c:ext>
            </c:extLst>
          </c:dPt>
          <c:dPt>
            <c:idx val="12"/>
            <c:bubble3D val="0"/>
            <c:spPr>
              <a:solidFill>
                <a:schemeClr val="accent1">
                  <a:lumMod val="80000"/>
                  <a:lumOff val="20000"/>
                </a:schemeClr>
              </a:solidFill>
              <a:ln w="6350">
                <a:solidFill>
                  <a:schemeClr val="bg1"/>
                </a:solidFill>
              </a:ln>
              <a:effectLst/>
            </c:spPr>
            <c:extLst>
              <c:ext xmlns:c16="http://schemas.microsoft.com/office/drawing/2014/chart" uri="{C3380CC4-5D6E-409C-BE32-E72D297353CC}">
                <c16:uniqueId val="{00000019-F1DA-4433-8EB0-87273E2A8F9F}"/>
              </c:ext>
            </c:extLst>
          </c:dPt>
          <c:dLbls>
            <c:dLbl>
              <c:idx val="0"/>
              <c:layout>
                <c:manualLayout>
                  <c:x val="0.33719177232324143"/>
                  <c:y val="-0.22367831606383412"/>
                </c:manualLayout>
              </c:layout>
              <c:numFmt formatCode="0.0&quot; %&quot;" sourceLinked="0"/>
              <c:spPr>
                <a:noFill/>
                <a:ln>
                  <a:noFill/>
                </a:ln>
                <a:effectLst/>
              </c:spPr>
              <c:txPr>
                <a:bodyPr rot="0" spcFirstLastPara="1" vertOverflow="ellipsis" vert="horz" wrap="square" lIns="0" tIns="19050" rIns="0" bIns="19050" anchor="ctr" anchorCtr="0">
                  <a:noAutofit/>
                </a:bodyPr>
                <a:lstStyle/>
                <a:p>
                  <a:pPr algn="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de-DE"/>
                </a:p>
              </c:txPr>
              <c:showLegendKey val="0"/>
              <c:showVal val="1"/>
              <c:showCatName val="1"/>
              <c:showSerName val="0"/>
              <c:showPercent val="0"/>
              <c:showBubbleSize val="0"/>
              <c:extLst>
                <c:ext xmlns:c15="http://schemas.microsoft.com/office/drawing/2012/chart" uri="{CE6537A1-D6FC-4f65-9D91-7224C49458BB}">
                  <c15:layout>
                    <c:manualLayout>
                      <c:w val="0.21055165140098361"/>
                      <c:h val="0.15039458659246538"/>
                    </c:manualLayout>
                  </c15:layout>
                </c:ext>
                <c:ext xmlns:c16="http://schemas.microsoft.com/office/drawing/2014/chart" uri="{C3380CC4-5D6E-409C-BE32-E72D297353CC}">
                  <c16:uniqueId val="{00000001-F1DA-4433-8EB0-87273E2A8F9F}"/>
                </c:ext>
              </c:extLst>
            </c:dLbl>
            <c:dLbl>
              <c:idx val="1"/>
              <c:layout>
                <c:manualLayout>
                  <c:x val="0.21074524545413528"/>
                  <c:y val="-0.10170118362755215"/>
                </c:manualLayout>
              </c:layout>
              <c:numFmt formatCode="0.0&quot; %&quot;" sourceLinked="0"/>
              <c:spPr>
                <a:noFill/>
                <a:ln>
                  <a:noFill/>
                </a:ln>
                <a:effectLst/>
              </c:spPr>
              <c:txPr>
                <a:bodyPr rot="0" spcFirstLastPara="1" vertOverflow="ellipsis" vert="horz" wrap="square" lIns="38100" tIns="19050" rIns="38100" bIns="19050" anchor="ctr" anchorCtr="0">
                  <a:noAutofit/>
                </a:bodyPr>
                <a:lstStyle/>
                <a:p>
                  <a:pPr algn="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de-DE"/>
                </a:p>
              </c:txPr>
              <c:showLegendKey val="0"/>
              <c:showVal val="1"/>
              <c:showCatName val="1"/>
              <c:showSerName val="0"/>
              <c:showPercent val="0"/>
              <c:showBubbleSize val="0"/>
              <c:extLst>
                <c:ext xmlns:c15="http://schemas.microsoft.com/office/drawing/2012/chart" uri="{CE6537A1-D6FC-4f65-9D91-7224C49458BB}">
                  <c15:layout>
                    <c:manualLayout>
                      <c:w val="0.19723102693678651"/>
                      <c:h val="0.19114693768964403"/>
                    </c:manualLayout>
                  </c15:layout>
                </c:ext>
                <c:ext xmlns:c16="http://schemas.microsoft.com/office/drawing/2014/chart" uri="{C3380CC4-5D6E-409C-BE32-E72D297353CC}">
                  <c16:uniqueId val="{00000003-F1DA-4433-8EB0-87273E2A8F9F}"/>
                </c:ext>
              </c:extLst>
            </c:dLbl>
            <c:dLbl>
              <c:idx val="2"/>
              <c:layout>
                <c:manualLayout>
                  <c:x val="0.14384616252312413"/>
                  <c:y val="0.23399611680884405"/>
                </c:manualLayout>
              </c:layout>
              <c:numFmt formatCode="0.0&quot; %&quot;" sourceLinked="0"/>
              <c:spPr>
                <a:noFill/>
                <a:ln>
                  <a:noFill/>
                </a:ln>
                <a:effectLst/>
              </c:spPr>
              <c:txPr>
                <a:bodyPr rot="0" spcFirstLastPara="1" vertOverflow="ellipsis" vert="horz" wrap="square" lIns="0" tIns="19050" rIns="0" bIns="19050" anchor="ctr" anchorCtr="0">
                  <a:noAutofit/>
                </a:bodyPr>
                <a:lstStyle/>
                <a:p>
                  <a:pPr algn="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de-DE"/>
                </a:p>
              </c:txPr>
              <c:showLegendKey val="0"/>
              <c:showVal val="1"/>
              <c:showCatName val="1"/>
              <c:showSerName val="0"/>
              <c:showPercent val="0"/>
              <c:showBubbleSize val="0"/>
              <c:extLst>
                <c:ext xmlns:c15="http://schemas.microsoft.com/office/drawing/2012/chart" uri="{CE6537A1-D6FC-4f65-9D91-7224C49458BB}">
                  <c15:layout>
                    <c:manualLayout>
                      <c:w val="0.17057511392861976"/>
                      <c:h val="8.1231524826877483E-2"/>
                    </c:manualLayout>
                  </c15:layout>
                </c:ext>
                <c:ext xmlns:c16="http://schemas.microsoft.com/office/drawing/2014/chart" uri="{C3380CC4-5D6E-409C-BE32-E72D297353CC}">
                  <c16:uniqueId val="{00000005-F1DA-4433-8EB0-87273E2A8F9F}"/>
                </c:ext>
              </c:extLst>
            </c:dLbl>
            <c:dLbl>
              <c:idx val="3"/>
              <c:layout>
                <c:manualLayout>
                  <c:x val="0.15220327798583225"/>
                  <c:y val="0.20542263685710099"/>
                </c:manualLayout>
              </c:layout>
              <c:numFmt formatCode="0.0&quot; %&quot;" sourceLinked="0"/>
              <c:spPr>
                <a:noFill/>
                <a:ln>
                  <a:noFill/>
                </a:ln>
                <a:effectLst/>
              </c:spPr>
              <c:txPr>
                <a:bodyPr rot="0" spcFirstLastPara="1" vertOverflow="ellipsis" vert="horz" wrap="square" lIns="0" tIns="19050" rIns="0" bIns="19050" anchor="ctr" anchorCtr="0">
                  <a:noAutofit/>
                </a:bodyPr>
                <a:lstStyle/>
                <a:p>
                  <a:pPr algn="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de-DE"/>
                </a:p>
              </c:txPr>
              <c:showLegendKey val="0"/>
              <c:showVal val="1"/>
              <c:showCatName val="1"/>
              <c:showSerName val="0"/>
              <c:showPercent val="0"/>
              <c:showBubbleSize val="0"/>
              <c:extLst>
                <c:ext xmlns:c15="http://schemas.microsoft.com/office/drawing/2012/chart" uri="{CE6537A1-D6FC-4f65-9D91-7224C49458BB}">
                  <c15:layout>
                    <c:manualLayout>
                      <c:w val="0.30373821233587511"/>
                      <c:h val="0.1737868201043733"/>
                    </c:manualLayout>
                  </c15:layout>
                </c:ext>
                <c:ext xmlns:c16="http://schemas.microsoft.com/office/drawing/2014/chart" uri="{C3380CC4-5D6E-409C-BE32-E72D297353CC}">
                  <c16:uniqueId val="{00000007-F1DA-4433-8EB0-87273E2A8F9F}"/>
                </c:ext>
              </c:extLst>
            </c:dLbl>
            <c:dLbl>
              <c:idx val="4"/>
              <c:layout>
                <c:manualLayout>
                  <c:x val="-0.18964462166674184"/>
                  <c:y val="0.19682264495282792"/>
                </c:manualLayout>
              </c:layout>
              <c:numFmt formatCode="0.0&quot; %&quot;" sourceLinked="0"/>
              <c:spPr>
                <a:noFill/>
                <a:ln>
                  <a:noFill/>
                </a:ln>
                <a:effectLst/>
              </c:spPr>
              <c:txPr>
                <a:bodyPr rot="0" spcFirstLastPara="1" vertOverflow="ellipsis" vert="horz" wrap="square" lIns="38100" tIns="19050" rIns="38100" bIns="19050" anchor="ctr" anchorCtr="0">
                  <a:noAutofit/>
                </a:bodyPr>
                <a:lstStyle/>
                <a:p>
                  <a:pPr algn="l">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de-DE"/>
                </a:p>
              </c:txPr>
              <c:showLegendKey val="0"/>
              <c:showVal val="1"/>
              <c:showCatName val="1"/>
              <c:showSerName val="0"/>
              <c:showPercent val="0"/>
              <c:showBubbleSize val="0"/>
              <c:extLst>
                <c:ext xmlns:c15="http://schemas.microsoft.com/office/drawing/2012/chart" uri="{CE6537A1-D6FC-4f65-9D91-7224C49458BB}">
                  <c15:layout>
                    <c:manualLayout>
                      <c:w val="0.38256215313811309"/>
                      <c:h val="0.17009879341814435"/>
                    </c:manualLayout>
                  </c15:layout>
                </c:ext>
                <c:ext xmlns:c16="http://schemas.microsoft.com/office/drawing/2014/chart" uri="{C3380CC4-5D6E-409C-BE32-E72D297353CC}">
                  <c16:uniqueId val="{00000009-F1DA-4433-8EB0-87273E2A8F9F}"/>
                </c:ext>
              </c:extLst>
            </c:dLbl>
            <c:dLbl>
              <c:idx val="5"/>
              <c:layout>
                <c:manualLayout>
                  <c:x val="-0.21590601452871905"/>
                  <c:y val="-0.26050018696646315"/>
                </c:manualLayout>
              </c:layout>
              <c:numFmt formatCode="0.0&quot; %&quot;" sourceLinked="0"/>
              <c:spPr>
                <a:noFill/>
                <a:ln>
                  <a:noFill/>
                </a:ln>
                <a:effectLst/>
              </c:spPr>
              <c:txPr>
                <a:bodyPr rot="0" spcFirstLastPara="1" vertOverflow="ellipsis" vert="horz" wrap="square" lIns="38100" tIns="19050" rIns="38100" bIns="19050" anchor="ctr" anchorCtr="0">
                  <a:noAutofit/>
                </a:bodyPr>
                <a:lstStyle/>
                <a:p>
                  <a:pPr algn="l">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de-DE"/>
                </a:p>
              </c:txPr>
              <c:showLegendKey val="0"/>
              <c:showVal val="1"/>
              <c:showCatName val="1"/>
              <c:showSerName val="0"/>
              <c:showPercent val="0"/>
              <c:showBubbleSize val="0"/>
              <c:extLst>
                <c:ext xmlns:c15="http://schemas.microsoft.com/office/drawing/2012/chart" uri="{CE6537A1-D6FC-4f65-9D91-7224C49458BB}">
                  <c15:layout>
                    <c:manualLayout>
                      <c:w val="0.22711783152100345"/>
                      <c:h val="0.21857785925203879"/>
                    </c:manualLayout>
                  </c15:layout>
                </c:ext>
                <c:ext xmlns:c16="http://schemas.microsoft.com/office/drawing/2014/chart" uri="{C3380CC4-5D6E-409C-BE32-E72D297353CC}">
                  <c16:uniqueId val="{0000000B-F1DA-4433-8EB0-87273E2A8F9F}"/>
                </c:ext>
              </c:extLst>
            </c:dLbl>
            <c:numFmt formatCode="0.0&quot; %&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de-DE"/>
              </a:p>
            </c:txPr>
            <c:showLegendKey val="0"/>
            <c:showVal val="1"/>
            <c:showCatName val="1"/>
            <c:showSerName val="0"/>
            <c:showPercent val="0"/>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'Grafik 1'!$D$41:$D$46</c:f>
              <c:strCache>
                <c:ptCount val="6"/>
                <c:pt idx="0">
                  <c:v>Land- und Forstwirtschaft, Fischerei</c:v>
                </c:pt>
                <c:pt idx="1">
                  <c:v>Produzierendes Gewerbe ohne Baugewerbe</c:v>
                </c:pt>
                <c:pt idx="2">
                  <c:v>Baugewerbe</c:v>
                </c:pt>
                <c:pt idx="3">
                  <c:v>Handel, Verkehr und Lagerei, Gastgewerbe, Information und Kommunikation</c:v>
                </c:pt>
                <c:pt idx="4">
                  <c:v>Finanz-, Versicherungs- und Unternehmensdienstleister, Grundstücks- und Wohnungswesen</c:v>
                </c:pt>
                <c:pt idx="5">
                  <c:v>Öffentliche und sonstige Dienstleister, Erziehung und Gesundheit</c:v>
                </c:pt>
              </c:strCache>
            </c:strRef>
          </c:cat>
          <c:val>
            <c:numRef>
              <c:f>'Grafik 1'!$F$41:$F$46</c:f>
              <c:numCache>
                <c:formatCode>#,##0.0</c:formatCode>
                <c:ptCount val="6"/>
                <c:pt idx="0">
                  <c:v>1.579492835809041</c:v>
                </c:pt>
                <c:pt idx="1">
                  <c:v>19.502107013598089</c:v>
                </c:pt>
                <c:pt idx="2">
                  <c:v>6.132561180400482</c:v>
                </c:pt>
                <c:pt idx="3">
                  <c:v>21.940793684821283</c:v>
                </c:pt>
                <c:pt idx="4">
                  <c:v>23.24709319245035</c:v>
                </c:pt>
                <c:pt idx="5">
                  <c:v>27.597952092920764</c:v>
                </c:pt>
              </c:numCache>
            </c:numRef>
          </c:val>
          <c:extLst>
            <c:ext xmlns:c16="http://schemas.microsoft.com/office/drawing/2014/chart" uri="{C3380CC4-5D6E-409C-BE32-E72D297353CC}">
              <c16:uniqueId val="{0000001A-F1DA-4433-8EB0-87273E2A8F9F}"/>
            </c:ext>
          </c:extLst>
        </c:ser>
        <c:dLbls>
          <c:showLegendKey val="0"/>
          <c:showVal val="1"/>
          <c:showCatName val="0"/>
          <c:showSerName val="0"/>
          <c:showPercent val="0"/>
          <c:showBubbleSize val="0"/>
          <c:showLeaderLines val="1"/>
        </c:dLbls>
        <c:firstSliceAng val="0"/>
        <c:holeSize val="30"/>
      </c:doughnutChart>
      <c:spPr>
        <a:noFill/>
        <a:ln>
          <a:noFill/>
        </a:ln>
        <a:effectLst/>
      </c:spPr>
    </c:plotArea>
    <c:plotVisOnly val="1"/>
    <c:dispBlanksAs val="gap"/>
    <c:showDLblsOverMax val="0"/>
  </c:chart>
  <c:spPr>
    <a:solidFill>
      <a:schemeClr val="bg1"/>
    </a:solidFill>
    <a:ln w="3175" cap="flat" cmpd="sng" algn="ctr">
      <a:noFill/>
      <a:round/>
    </a:ln>
    <a:effectLst/>
  </c:spPr>
  <c:txPr>
    <a:bodyPr/>
    <a:lstStyle/>
    <a:p>
      <a:pPr>
        <a:defRPr>
          <a:latin typeface="Arial Narrow" panose="020B0606020202030204" pitchFamily="34" charset="0"/>
        </a:defRPr>
      </a:pPr>
      <a:endParaRPr lang="de-DE"/>
    </a:p>
  </c:txPr>
  <c:printSettings>
    <c:headerFooter/>
    <c:pageMargins b="0.78740157499999996" l="0.7" r="0.7" t="0.78740157499999996"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677777777777787E-2"/>
          <c:y val="9.3742229589722351E-2"/>
          <c:w val="0.92163555555555554"/>
          <c:h val="0.73479735722689832"/>
        </c:manualLayout>
      </c:layout>
      <c:barChart>
        <c:barDir val="col"/>
        <c:grouping val="clustered"/>
        <c:varyColors val="0"/>
        <c:ser>
          <c:idx val="0"/>
          <c:order val="0"/>
          <c:tx>
            <c:strRef>
              <c:f>'Grafik 2'!$E$38</c:f>
              <c:strCache>
                <c:ptCount val="1"/>
                <c:pt idx="0">
                  <c:v>Bruttoinlandsprodukt (preisbereingt, verkettet)</c:v>
                </c:pt>
              </c:strCache>
            </c:strRef>
          </c:tx>
          <c:spPr>
            <a:solidFill>
              <a:srgbClr val="71C8D2"/>
            </a:solidFill>
            <a:ln>
              <a:noFill/>
            </a:ln>
            <a:effectLst/>
          </c:spPr>
          <c:invertIfNegative val="0"/>
          <c:cat>
            <c:numRef>
              <c:f>'Grafik 2'!$D$40:$D$63</c:f>
              <c:numCache>
                <c:formatCode>General</c:formatCode>
                <c:ptCount val="2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numCache>
            </c:numRef>
          </c:cat>
          <c:val>
            <c:numRef>
              <c:f>'Grafik 2'!$E$40:$E$63</c:f>
              <c:numCache>
                <c:formatCode>\+\ 0.0;\–\ 0.0;\–</c:formatCode>
                <c:ptCount val="24"/>
                <c:pt idx="0">
                  <c:v>1.24071078347109</c:v>
                </c:pt>
                <c:pt idx="1">
                  <c:v>-1.9558630785961699</c:v>
                </c:pt>
                <c:pt idx="2">
                  <c:v>-0.31003514371624502</c:v>
                </c:pt>
                <c:pt idx="3">
                  <c:v>1.5023592917151201</c:v>
                </c:pt>
                <c:pt idx="4">
                  <c:v>0.404551548844029</c:v>
                </c:pt>
                <c:pt idx="5">
                  <c:v>2.6276665099942602</c:v>
                </c:pt>
                <c:pt idx="6">
                  <c:v>0.929563996140649</c:v>
                </c:pt>
                <c:pt idx="7">
                  <c:v>2.4638307305770999</c:v>
                </c:pt>
                <c:pt idx="8">
                  <c:v>-3.4185751575871</c:v>
                </c:pt>
                <c:pt idx="9">
                  <c:v>0.90453383948656796</c:v>
                </c:pt>
                <c:pt idx="10">
                  <c:v>2.7398165134326802</c:v>
                </c:pt>
                <c:pt idx="11">
                  <c:v>2.4467682818529402</c:v>
                </c:pt>
                <c:pt idx="12">
                  <c:v>-1.01923041012676</c:v>
                </c:pt>
                <c:pt idx="13">
                  <c:v>1.5323147261469601</c:v>
                </c:pt>
                <c:pt idx="14">
                  <c:v>1.0355631226337201</c:v>
                </c:pt>
                <c:pt idx="15">
                  <c:v>2.3040288932557602</c:v>
                </c:pt>
                <c:pt idx="16">
                  <c:v>3.1468465032508299</c:v>
                </c:pt>
                <c:pt idx="17">
                  <c:v>0.65976275731801104</c:v>
                </c:pt>
                <c:pt idx="18">
                  <c:v>2.3015469435611</c:v>
                </c:pt>
                <c:pt idx="19">
                  <c:v>-2.2005164196212599</c:v>
                </c:pt>
                <c:pt idx="20">
                  <c:v>-0.30643839280943702</c:v>
                </c:pt>
                <c:pt idx="21">
                  <c:v>1.2264619363731999</c:v>
                </c:pt>
                <c:pt idx="22">
                  <c:v>-0.72931193135752603</c:v>
                </c:pt>
                <c:pt idx="23">
                  <c:v>1.17382480924595</c:v>
                </c:pt>
              </c:numCache>
            </c:numRef>
          </c:val>
          <c:extLst>
            <c:ext xmlns:c16="http://schemas.microsoft.com/office/drawing/2014/chart" uri="{C3380CC4-5D6E-409C-BE32-E72D297353CC}">
              <c16:uniqueId val="{00000000-2698-4049-8DA9-B7E5A6B383E9}"/>
            </c:ext>
          </c:extLst>
        </c:ser>
        <c:ser>
          <c:idx val="1"/>
          <c:order val="1"/>
          <c:tx>
            <c:strRef>
              <c:f>'Grafik 2'!$F$38</c:f>
              <c:strCache>
                <c:ptCount val="1"/>
                <c:pt idx="0">
                  <c:v>Erwerbstätige</c:v>
                </c:pt>
              </c:strCache>
            </c:strRef>
          </c:tx>
          <c:spPr>
            <a:solidFill>
              <a:schemeClr val="accent2"/>
            </a:solidFill>
            <a:ln>
              <a:noFill/>
            </a:ln>
            <a:effectLst/>
          </c:spPr>
          <c:invertIfNegative val="0"/>
          <c:cat>
            <c:numRef>
              <c:f>'Grafik 2'!$D$40:$D$63</c:f>
              <c:numCache>
                <c:formatCode>General</c:formatCode>
                <c:ptCount val="2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numCache>
            </c:numRef>
          </c:cat>
          <c:val>
            <c:numRef>
              <c:f>'Grafik 2'!$F$40:$F$63</c:f>
              <c:numCache>
                <c:formatCode>\+\ 0.0;\–\ 0.0;\–</c:formatCode>
                <c:ptCount val="24"/>
                <c:pt idx="0">
                  <c:v>0.20615877960226214</c:v>
                </c:pt>
                <c:pt idx="1">
                  <c:v>-0.69934250314619817</c:v>
                </c:pt>
                <c:pt idx="2">
                  <c:v>-1.4472358194578874</c:v>
                </c:pt>
                <c:pt idx="3">
                  <c:v>6.6320362255154919E-2</c:v>
                </c:pt>
                <c:pt idx="4">
                  <c:v>-0.19954272449945165</c:v>
                </c:pt>
                <c:pt idx="5">
                  <c:v>0.7867391869037732</c:v>
                </c:pt>
                <c:pt idx="6">
                  <c:v>1.637332505235392</c:v>
                </c:pt>
                <c:pt idx="7">
                  <c:v>1.473698087309856</c:v>
                </c:pt>
                <c:pt idx="8">
                  <c:v>0.44453818695365044</c:v>
                </c:pt>
                <c:pt idx="9">
                  <c:v>0.3584998394663188</c:v>
                </c:pt>
                <c:pt idx="10">
                  <c:v>0.96620518271095079</c:v>
                </c:pt>
                <c:pt idx="11">
                  <c:v>0.71608614658251213</c:v>
                </c:pt>
                <c:pt idx="12">
                  <c:v>0.43880837359100155</c:v>
                </c:pt>
                <c:pt idx="13">
                  <c:v>0.70447416433228227</c:v>
                </c:pt>
                <c:pt idx="14">
                  <c:v>0.97026910889877627</c:v>
                </c:pt>
                <c:pt idx="15">
                  <c:v>1.4749970983304479</c:v>
                </c:pt>
                <c:pt idx="16">
                  <c:v>1.3520541943893534</c:v>
                </c:pt>
                <c:pt idx="17">
                  <c:v>1.2450830504889581</c:v>
                </c:pt>
                <c:pt idx="18">
                  <c:v>1.0580155968268059</c:v>
                </c:pt>
                <c:pt idx="19">
                  <c:v>-0.29732174569349468</c:v>
                </c:pt>
                <c:pt idx="20">
                  <c:v>0.56169768655418295</c:v>
                </c:pt>
                <c:pt idx="21">
                  <c:v>1.2323888846991196</c:v>
                </c:pt>
                <c:pt idx="22">
                  <c:v>0.81332207896058151</c:v>
                </c:pt>
                <c:pt idx="23">
                  <c:v>0.48527662055475673</c:v>
                </c:pt>
              </c:numCache>
            </c:numRef>
          </c:val>
          <c:extLst>
            <c:ext xmlns:c16="http://schemas.microsoft.com/office/drawing/2014/chart" uri="{C3380CC4-5D6E-409C-BE32-E72D297353CC}">
              <c16:uniqueId val="{00000001-2698-4049-8DA9-B7E5A6B383E9}"/>
            </c:ext>
          </c:extLst>
        </c:ser>
        <c:dLbls>
          <c:showLegendKey val="0"/>
          <c:showVal val="0"/>
          <c:showCatName val="0"/>
          <c:showSerName val="0"/>
          <c:showPercent val="0"/>
          <c:showBubbleSize val="0"/>
        </c:dLbls>
        <c:gapWidth val="50"/>
        <c:axId val="122101968"/>
        <c:axId val="122103144"/>
      </c:barChart>
      <c:catAx>
        <c:axId val="122101968"/>
        <c:scaling>
          <c:orientation val="minMax"/>
        </c:scaling>
        <c:delete val="0"/>
        <c:axPos val="b"/>
        <c:numFmt formatCode="General" sourceLinked="1"/>
        <c:majorTickMark val="out"/>
        <c:minorTickMark val="none"/>
        <c:tickLblPos val="low"/>
        <c:spPr>
          <a:noFill/>
          <a:ln w="9525" cap="flat" cmpd="sng" algn="ctr">
            <a:solidFill>
              <a:sysClr val="windowText" lastClr="000000"/>
            </a:solidFill>
            <a:round/>
          </a:ln>
          <a:effectLst/>
        </c:spPr>
        <c:txPr>
          <a:bodyPr rot="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22103144"/>
        <c:crosses val="autoZero"/>
        <c:auto val="0"/>
        <c:lblAlgn val="ctr"/>
        <c:lblOffset val="100"/>
        <c:tickLblSkip val="2"/>
        <c:noMultiLvlLbl val="1"/>
      </c:catAx>
      <c:valAx>
        <c:axId val="122103144"/>
        <c:scaling>
          <c:orientation val="minMax"/>
        </c:scaling>
        <c:delete val="0"/>
        <c:axPos val="l"/>
        <c:majorGridlines>
          <c:spPr>
            <a:ln w="9525" cap="flat" cmpd="sng" algn="ctr">
              <a:solidFill>
                <a:sysClr val="window" lastClr="FFFFFF">
                  <a:lumMod val="85000"/>
                </a:sysClr>
              </a:solidFill>
              <a:round/>
            </a:ln>
            <a:effectLst/>
          </c:spPr>
        </c:majorGridlines>
        <c:title>
          <c:tx>
            <c:rich>
              <a:bodyPr rot="0" spcFirstLastPara="1" vertOverflow="ellipsis" wrap="square" anchor="ctr" anchorCtr="1"/>
              <a:lstStyle/>
              <a:p>
                <a:pPr algn="l">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de-DE"/>
                  <a:t>%</a:t>
                </a:r>
              </a:p>
            </c:rich>
          </c:tx>
          <c:layout>
            <c:manualLayout>
              <c:xMode val="edge"/>
              <c:yMode val="edge"/>
              <c:x val="4.5602652640901332E-2"/>
              <c:y val="3.883337237307579E-2"/>
            </c:manualLayout>
          </c:layout>
          <c:overlay val="0"/>
          <c:spPr>
            <a:noFill/>
            <a:ln>
              <a:noFill/>
            </a:ln>
            <a:effectLst/>
          </c:spPr>
          <c:txPr>
            <a:bodyPr rot="0" spcFirstLastPara="1" vertOverflow="ellipsis" wrap="square" anchor="ctr" anchorCtr="1"/>
            <a:lstStyle/>
            <a:p>
              <a:pPr algn="l">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title>
        <c:numFmt formatCode="\+* #\ ##0;\–* #\ ##0;0;@" sourceLinked="0"/>
        <c:majorTickMark val="none"/>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122101968"/>
        <c:crosses val="autoZero"/>
        <c:crossBetween val="between"/>
        <c:minorUnit val="1"/>
      </c:valAx>
      <c:spPr>
        <a:solidFill>
          <a:sysClr val="window" lastClr="FFFFFF"/>
        </a:solidFill>
        <a:ln>
          <a:noFill/>
        </a:ln>
        <a:effectLst/>
      </c:spPr>
    </c:plotArea>
    <c:legend>
      <c:legendPos val="r"/>
      <c:layout>
        <c:manualLayout>
          <c:xMode val="edge"/>
          <c:yMode val="edge"/>
          <c:x val="9.7644919554665949E-2"/>
          <c:y val="0.11091465290976557"/>
          <c:w val="0.63574791099788586"/>
          <c:h val="4.8290584366609345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chart>
  <c:spPr>
    <a:solidFill>
      <a:sysClr val="window" lastClr="FFFFFF"/>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de-DE"/>
    </a:p>
  </c:txPr>
  <c:printSettings>
    <c:headerFooter/>
    <c:pageMargins b="0.78740157499999996" l="0.7" r="0.7" t="0.78740157499999996"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2483871878331755"/>
          <c:y val="3.7367438271604936E-2"/>
          <c:w val="0.61536313516353947"/>
          <c:h val="0.89854089506172841"/>
        </c:manualLayout>
      </c:layout>
      <c:barChart>
        <c:barDir val="bar"/>
        <c:grouping val="stacked"/>
        <c:varyColors val="0"/>
        <c:ser>
          <c:idx val="0"/>
          <c:order val="0"/>
          <c:tx>
            <c:strRef>
              <c:f>'Grafik 3'!$H$59</c:f>
              <c:strCache>
                <c:ptCount val="1"/>
                <c:pt idx="0">
                  <c:v>Aufgaben²</c:v>
                </c:pt>
              </c:strCache>
            </c:strRef>
          </c:tx>
          <c:spPr>
            <a:solidFill>
              <a:schemeClr val="accent1"/>
            </a:solidFill>
            <a:ln>
              <a:noFill/>
            </a:ln>
            <a:effectLst/>
          </c:spPr>
          <c:invertIfNegative val="0"/>
          <c:cat>
            <c:strRef>
              <c:f>'Grafik 3'!$D$60:$D$84</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2023a</c:v>
                </c:pt>
                <c:pt idx="24">
                  <c:v>2024</c:v>
                </c:pt>
              </c:strCache>
            </c:strRef>
          </c:cat>
          <c:val>
            <c:numRef>
              <c:f>'Grafik 3'!$H$60:$H$84</c:f>
              <c:numCache>
                <c:formatCode>#\ ##0</c:formatCode>
                <c:ptCount val="25"/>
                <c:pt idx="0">
                  <c:v>17980</c:v>
                </c:pt>
                <c:pt idx="1">
                  <c:v>17815</c:v>
                </c:pt>
                <c:pt idx="2">
                  <c:v>18260</c:v>
                </c:pt>
                <c:pt idx="3">
                  <c:v>17944</c:v>
                </c:pt>
                <c:pt idx="4">
                  <c:v>18633</c:v>
                </c:pt>
                <c:pt idx="5">
                  <c:v>20051</c:v>
                </c:pt>
                <c:pt idx="6">
                  <c:v>20185</c:v>
                </c:pt>
                <c:pt idx="7">
                  <c:v>19635</c:v>
                </c:pt>
                <c:pt idx="8">
                  <c:v>20128</c:v>
                </c:pt>
                <c:pt idx="9">
                  <c:v>21151</c:v>
                </c:pt>
                <c:pt idx="10">
                  <c:v>20578</c:v>
                </c:pt>
                <c:pt idx="11">
                  <c:v>20364</c:v>
                </c:pt>
                <c:pt idx="12">
                  <c:v>20027</c:v>
                </c:pt>
                <c:pt idx="13">
                  <c:v>19975</c:v>
                </c:pt>
                <c:pt idx="14">
                  <c:v>21971</c:v>
                </c:pt>
                <c:pt idx="15">
                  <c:v>20280</c:v>
                </c:pt>
                <c:pt idx="16">
                  <c:v>20252</c:v>
                </c:pt>
                <c:pt idx="17">
                  <c:v>19234</c:v>
                </c:pt>
                <c:pt idx="18">
                  <c:v>18633</c:v>
                </c:pt>
                <c:pt idx="19">
                  <c:v>18245</c:v>
                </c:pt>
                <c:pt idx="20">
                  <c:v>16419</c:v>
                </c:pt>
                <c:pt idx="21">
                  <c:v>15957</c:v>
                </c:pt>
                <c:pt idx="22">
                  <c:v>17109</c:v>
                </c:pt>
                <c:pt idx="23">
                  <c:v>17494</c:v>
                </c:pt>
                <c:pt idx="24">
                  <c:v>19124</c:v>
                </c:pt>
              </c:numCache>
            </c:numRef>
          </c:val>
          <c:extLst>
            <c:ext xmlns:c16="http://schemas.microsoft.com/office/drawing/2014/chart" uri="{C3380CC4-5D6E-409C-BE32-E72D297353CC}">
              <c16:uniqueId val="{00000000-61AE-44D9-BAF9-B4FFF6180196}"/>
            </c:ext>
          </c:extLst>
        </c:ser>
        <c:ser>
          <c:idx val="1"/>
          <c:order val="1"/>
          <c:tx>
            <c:strRef>
              <c:f>'Grafik 3'!$I$59</c:f>
              <c:strCache>
                <c:ptCount val="1"/>
                <c:pt idx="0">
                  <c:v>Fortzüge</c:v>
                </c:pt>
              </c:strCache>
            </c:strRef>
          </c:tx>
          <c:spPr>
            <a:solidFill>
              <a:srgbClr val="77C8D2"/>
            </a:solidFill>
            <a:ln>
              <a:noFill/>
            </a:ln>
            <a:effectLst/>
          </c:spPr>
          <c:invertIfNegative val="0"/>
          <c:cat>
            <c:strRef>
              <c:f>'Grafik 3'!$D$60:$D$84</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2023a</c:v>
                </c:pt>
                <c:pt idx="24">
                  <c:v>2024</c:v>
                </c:pt>
              </c:strCache>
            </c:strRef>
          </c:cat>
          <c:val>
            <c:numRef>
              <c:f>'Grafik 3'!$I$60:$I$84</c:f>
              <c:numCache>
                <c:formatCode>#\ ##0</c:formatCode>
                <c:ptCount val="25"/>
                <c:pt idx="0">
                  <c:v>2612</c:v>
                </c:pt>
                <c:pt idx="1">
                  <c:v>2338</c:v>
                </c:pt>
                <c:pt idx="2">
                  <c:v>2356</c:v>
                </c:pt>
                <c:pt idx="3">
                  <c:v>2684</c:v>
                </c:pt>
                <c:pt idx="4">
                  <c:v>2861</c:v>
                </c:pt>
                <c:pt idx="5">
                  <c:v>3084</c:v>
                </c:pt>
                <c:pt idx="6">
                  <c:v>3130</c:v>
                </c:pt>
                <c:pt idx="7">
                  <c:v>3000</c:v>
                </c:pt>
                <c:pt idx="8">
                  <c:v>3022</c:v>
                </c:pt>
                <c:pt idx="9">
                  <c:v>3186</c:v>
                </c:pt>
                <c:pt idx="10">
                  <c:v>3263</c:v>
                </c:pt>
                <c:pt idx="11">
                  <c:v>3334</c:v>
                </c:pt>
                <c:pt idx="12">
                  <c:v>3254</c:v>
                </c:pt>
                <c:pt idx="13">
                  <c:v>3190</c:v>
                </c:pt>
                <c:pt idx="14">
                  <c:v>3468</c:v>
                </c:pt>
                <c:pt idx="15">
                  <c:v>3494</c:v>
                </c:pt>
                <c:pt idx="16">
                  <c:v>3098</c:v>
                </c:pt>
                <c:pt idx="17">
                  <c:v>3240</c:v>
                </c:pt>
                <c:pt idx="18">
                  <c:v>3079</c:v>
                </c:pt>
                <c:pt idx="19">
                  <c:v>3065</c:v>
                </c:pt>
                <c:pt idx="20">
                  <c:v>2928</c:v>
                </c:pt>
                <c:pt idx="21">
                  <c:v>3042</c:v>
                </c:pt>
                <c:pt idx="22">
                  <c:v>2810</c:v>
                </c:pt>
                <c:pt idx="23">
                  <c:v>2999</c:v>
                </c:pt>
                <c:pt idx="24">
                  <c:v>3213</c:v>
                </c:pt>
              </c:numCache>
            </c:numRef>
          </c:val>
          <c:extLst>
            <c:ext xmlns:c16="http://schemas.microsoft.com/office/drawing/2014/chart" uri="{C3380CC4-5D6E-409C-BE32-E72D297353CC}">
              <c16:uniqueId val="{00000001-61AE-44D9-BAF9-B4FFF6180196}"/>
            </c:ext>
          </c:extLst>
        </c:ser>
        <c:ser>
          <c:idx val="2"/>
          <c:order val="2"/>
          <c:tx>
            <c:strRef>
              <c:f>'Grafik 3'!$J$59</c:f>
              <c:strCache>
                <c:ptCount val="1"/>
                <c:pt idx="0">
                  <c:v>Sonstige Abmeldungen⁴</c:v>
                </c:pt>
              </c:strCache>
            </c:strRef>
          </c:tx>
          <c:spPr>
            <a:solidFill>
              <a:schemeClr val="accent3"/>
            </a:solidFill>
            <a:ln>
              <a:noFill/>
            </a:ln>
            <a:effectLst/>
          </c:spPr>
          <c:invertIfNegative val="0"/>
          <c:cat>
            <c:strRef>
              <c:f>'Grafik 3'!$D$60:$D$84</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2023a</c:v>
                </c:pt>
                <c:pt idx="24">
                  <c:v>2024</c:v>
                </c:pt>
              </c:strCache>
            </c:strRef>
          </c:cat>
          <c:val>
            <c:numRef>
              <c:f>'Grafik 3'!$J$60:$J$84</c:f>
              <c:numCache>
                <c:formatCode>#\ ##0</c:formatCode>
                <c:ptCount val="25"/>
                <c:pt idx="0">
                  <c:v>3332</c:v>
                </c:pt>
                <c:pt idx="1">
                  <c:v>3535</c:v>
                </c:pt>
                <c:pt idx="2">
                  <c:v>3313</c:v>
                </c:pt>
                <c:pt idx="3">
                  <c:v>3026</c:v>
                </c:pt>
                <c:pt idx="4">
                  <c:v>2842</c:v>
                </c:pt>
                <c:pt idx="5">
                  <c:v>2849</c:v>
                </c:pt>
                <c:pt idx="6">
                  <c:v>2501</c:v>
                </c:pt>
                <c:pt idx="7">
                  <c:v>2291</c:v>
                </c:pt>
                <c:pt idx="8">
                  <c:v>2373</c:v>
                </c:pt>
                <c:pt idx="9">
                  <c:v>2286</c:v>
                </c:pt>
                <c:pt idx="10">
                  <c:v>2143</c:v>
                </c:pt>
                <c:pt idx="11">
                  <c:v>2031</c:v>
                </c:pt>
                <c:pt idx="12">
                  <c:v>1914</c:v>
                </c:pt>
                <c:pt idx="13">
                  <c:v>1906</c:v>
                </c:pt>
                <c:pt idx="14">
                  <c:v>1963</c:v>
                </c:pt>
                <c:pt idx="15">
                  <c:v>1827</c:v>
                </c:pt>
                <c:pt idx="16">
                  <c:v>1839</c:v>
                </c:pt>
                <c:pt idx="17">
                  <c:v>1943</c:v>
                </c:pt>
                <c:pt idx="18">
                  <c:v>1833</c:v>
                </c:pt>
                <c:pt idx="19">
                  <c:v>1883</c:v>
                </c:pt>
                <c:pt idx="20">
                  <c:v>1849</c:v>
                </c:pt>
                <c:pt idx="21">
                  <c:v>1854</c:v>
                </c:pt>
                <c:pt idx="22">
                  <c:v>1792</c:v>
                </c:pt>
                <c:pt idx="23">
                  <c:v>1802</c:v>
                </c:pt>
                <c:pt idx="24">
                  <c:v>1964</c:v>
                </c:pt>
              </c:numCache>
            </c:numRef>
          </c:val>
          <c:extLst>
            <c:ext xmlns:c16="http://schemas.microsoft.com/office/drawing/2014/chart" uri="{C3380CC4-5D6E-409C-BE32-E72D297353CC}">
              <c16:uniqueId val="{00000002-61AE-44D9-BAF9-B4FFF6180196}"/>
            </c:ext>
          </c:extLst>
        </c:ser>
        <c:dLbls>
          <c:showLegendKey val="0"/>
          <c:showVal val="0"/>
          <c:showCatName val="0"/>
          <c:showSerName val="0"/>
          <c:showPercent val="0"/>
          <c:showBubbleSize val="0"/>
        </c:dLbls>
        <c:gapWidth val="20"/>
        <c:overlap val="100"/>
        <c:axId val="473917592"/>
        <c:axId val="473912888"/>
      </c:barChart>
      <c:catAx>
        <c:axId val="473917592"/>
        <c:scaling>
          <c:orientation val="minMax"/>
        </c:scaling>
        <c:delete val="0"/>
        <c:axPos val="l"/>
        <c:numFmt formatCode="General" sourceLinked="0"/>
        <c:majorTickMark val="none"/>
        <c:minorTickMark val="none"/>
        <c:tickLblPos val="none"/>
        <c:spPr>
          <a:noFill/>
          <a:ln w="9525" cap="flat" cmpd="sng" algn="ctr">
            <a:solidFill>
              <a:sysClr val="windowText" lastClr="000000"/>
            </a:solidFill>
            <a:round/>
          </a:ln>
          <a:effectLst/>
        </c:spPr>
        <c:txPr>
          <a:bodyPr rot="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473912888"/>
        <c:crosses val="autoZero"/>
        <c:auto val="0"/>
        <c:lblAlgn val="ctr"/>
        <c:lblOffset val="0"/>
        <c:tickMarkSkip val="5"/>
        <c:noMultiLvlLbl val="1"/>
      </c:catAx>
      <c:valAx>
        <c:axId val="473912888"/>
        <c:scaling>
          <c:orientation val="minMax"/>
          <c:max val="40000"/>
        </c:scaling>
        <c:delete val="0"/>
        <c:axPos val="b"/>
        <c:majorGridlines>
          <c:spPr>
            <a:ln w="9525" cap="flat" cmpd="sng" algn="ctr">
              <a:solidFill>
                <a:sysClr val="window" lastClr="FFFFFF">
                  <a:lumMod val="85000"/>
                </a:sysClr>
              </a:solidFill>
              <a:round/>
            </a:ln>
            <a:effectLst/>
          </c:spPr>
        </c:majorGridlines>
        <c:title>
          <c:tx>
            <c:rich>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de-DE"/>
                  <a:t>Gewerbeabmeldungen</a:t>
                </a:r>
              </a:p>
            </c:rich>
          </c:tx>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title>
        <c:numFmt formatCode="###\ ##0" sourceLinked="0"/>
        <c:majorTickMark val="none"/>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473917592"/>
        <c:crosses val="autoZero"/>
        <c:crossBetween val="between"/>
        <c:majorUnit val="5000"/>
        <c:minorUnit val="5000"/>
      </c:valAx>
      <c:spPr>
        <a:solidFill>
          <a:sysClr val="window" lastClr="FFFFFF"/>
        </a:solidFill>
        <a:ln w="6350">
          <a:solidFill>
            <a:sysClr val="window" lastClr="FFFFFF">
              <a:lumMod val="85000"/>
            </a:sysClr>
          </a:solidFill>
        </a:ln>
        <a:effectLst/>
      </c:spPr>
    </c:plotArea>
    <c:legend>
      <c:legendPos val="r"/>
      <c:layout>
        <c:manualLayout>
          <c:xMode val="edge"/>
          <c:yMode val="edge"/>
          <c:x val="0.75646655708301946"/>
          <c:y val="9.4331574656402753E-2"/>
          <c:w val="0.19526213991769548"/>
          <c:h val="0.1657645061728395"/>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chart>
  <c:spPr>
    <a:solidFill>
      <a:sysClr val="window" lastClr="FFFFFF"/>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de-DE"/>
    </a:p>
  </c:txPr>
  <c:printSettings>
    <c:headerFooter/>
    <c:pageMargins b="0.78740157499999996" l="0.7" r="0.7" t="0.78740157499999996"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934773662551438E-2"/>
          <c:y val="3.2349999999999997E-2"/>
          <c:w val="0.72252498043007785"/>
          <c:h val="0.8994078703703704"/>
        </c:manualLayout>
      </c:layout>
      <c:barChart>
        <c:barDir val="bar"/>
        <c:grouping val="stacked"/>
        <c:varyColors val="0"/>
        <c:ser>
          <c:idx val="0"/>
          <c:order val="0"/>
          <c:tx>
            <c:strRef>
              <c:f>'Grafik 3'!$E$59</c:f>
              <c:strCache>
                <c:ptCount val="1"/>
                <c:pt idx="0">
                  <c:v>Neuerrichtungen²</c:v>
                </c:pt>
              </c:strCache>
            </c:strRef>
          </c:tx>
          <c:spPr>
            <a:solidFill>
              <a:schemeClr val="accent1"/>
            </a:solidFill>
            <a:ln>
              <a:noFill/>
            </a:ln>
            <a:effectLst/>
          </c:spPr>
          <c:invertIfNegative val="0"/>
          <c:cat>
            <c:strRef>
              <c:f>'Grafik 3'!$D$60:$D$84</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2023a</c:v>
                </c:pt>
                <c:pt idx="24">
                  <c:v>2024</c:v>
                </c:pt>
              </c:strCache>
            </c:strRef>
          </c:cat>
          <c:val>
            <c:numRef>
              <c:f>'Grafik 3'!$E$60:$E$84</c:f>
              <c:numCache>
                <c:formatCode>#\ ##0</c:formatCode>
                <c:ptCount val="25"/>
                <c:pt idx="0">
                  <c:v>22620</c:v>
                </c:pt>
                <c:pt idx="1">
                  <c:v>22133</c:v>
                </c:pt>
                <c:pt idx="2">
                  <c:v>22491</c:v>
                </c:pt>
                <c:pt idx="3">
                  <c:v>25624</c:v>
                </c:pt>
                <c:pt idx="4">
                  <c:v>30135</c:v>
                </c:pt>
                <c:pt idx="5">
                  <c:v>26140</c:v>
                </c:pt>
                <c:pt idx="6">
                  <c:v>26444</c:v>
                </c:pt>
                <c:pt idx="7">
                  <c:v>24775</c:v>
                </c:pt>
                <c:pt idx="8">
                  <c:v>24884</c:v>
                </c:pt>
                <c:pt idx="9">
                  <c:v>26499</c:v>
                </c:pt>
                <c:pt idx="10">
                  <c:v>26806</c:v>
                </c:pt>
                <c:pt idx="11">
                  <c:v>24066</c:v>
                </c:pt>
                <c:pt idx="12">
                  <c:v>21948</c:v>
                </c:pt>
                <c:pt idx="13">
                  <c:v>22013</c:v>
                </c:pt>
                <c:pt idx="14">
                  <c:v>21509</c:v>
                </c:pt>
                <c:pt idx="15">
                  <c:v>20698</c:v>
                </c:pt>
                <c:pt idx="16">
                  <c:v>20075</c:v>
                </c:pt>
                <c:pt idx="17">
                  <c:v>20008</c:v>
                </c:pt>
                <c:pt idx="18">
                  <c:v>19413</c:v>
                </c:pt>
                <c:pt idx="19">
                  <c:v>20501</c:v>
                </c:pt>
                <c:pt idx="20">
                  <c:v>19811</c:v>
                </c:pt>
                <c:pt idx="21">
                  <c:v>21433</c:v>
                </c:pt>
                <c:pt idx="22">
                  <c:v>20411</c:v>
                </c:pt>
                <c:pt idx="23">
                  <c:v>21448</c:v>
                </c:pt>
                <c:pt idx="24">
                  <c:v>21556</c:v>
                </c:pt>
              </c:numCache>
            </c:numRef>
          </c:val>
          <c:extLst>
            <c:ext xmlns:c16="http://schemas.microsoft.com/office/drawing/2014/chart" uri="{C3380CC4-5D6E-409C-BE32-E72D297353CC}">
              <c16:uniqueId val="{00000000-C2C6-426D-A600-0429E872D4DB}"/>
            </c:ext>
          </c:extLst>
        </c:ser>
        <c:ser>
          <c:idx val="1"/>
          <c:order val="1"/>
          <c:tx>
            <c:strRef>
              <c:f>'Grafik 3'!$F$59</c:f>
              <c:strCache>
                <c:ptCount val="1"/>
                <c:pt idx="0">
                  <c:v>Zuzüge</c:v>
                </c:pt>
              </c:strCache>
            </c:strRef>
          </c:tx>
          <c:spPr>
            <a:solidFill>
              <a:srgbClr val="77C8D2"/>
            </a:solidFill>
            <a:ln>
              <a:noFill/>
            </a:ln>
            <a:effectLst/>
          </c:spPr>
          <c:invertIfNegative val="0"/>
          <c:cat>
            <c:strRef>
              <c:f>'Grafik 3'!$D$60:$D$84</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2023a</c:v>
                </c:pt>
                <c:pt idx="24">
                  <c:v>2024</c:v>
                </c:pt>
              </c:strCache>
            </c:strRef>
          </c:cat>
          <c:val>
            <c:numRef>
              <c:f>'Grafik 3'!$F$60:$F$84</c:f>
              <c:numCache>
                <c:formatCode>#\ ##0</c:formatCode>
                <c:ptCount val="25"/>
                <c:pt idx="0">
                  <c:v>1606</c:v>
                </c:pt>
                <c:pt idx="1">
                  <c:v>1329</c:v>
                </c:pt>
                <c:pt idx="2">
                  <c:v>1672</c:v>
                </c:pt>
                <c:pt idx="3">
                  <c:v>2593</c:v>
                </c:pt>
                <c:pt idx="4">
                  <c:v>2874</c:v>
                </c:pt>
                <c:pt idx="5">
                  <c:v>3111</c:v>
                </c:pt>
                <c:pt idx="6">
                  <c:v>3557</c:v>
                </c:pt>
                <c:pt idx="7">
                  <c:v>3330</c:v>
                </c:pt>
                <c:pt idx="8">
                  <c:v>3560</c:v>
                </c:pt>
                <c:pt idx="9">
                  <c:v>3245</c:v>
                </c:pt>
                <c:pt idx="10">
                  <c:v>3541</c:v>
                </c:pt>
                <c:pt idx="11">
                  <c:v>3597</c:v>
                </c:pt>
                <c:pt idx="12">
                  <c:v>3688</c:v>
                </c:pt>
                <c:pt idx="13">
                  <c:v>3757</c:v>
                </c:pt>
                <c:pt idx="14">
                  <c:v>3962</c:v>
                </c:pt>
                <c:pt idx="15">
                  <c:v>3800</c:v>
                </c:pt>
                <c:pt idx="16">
                  <c:v>3632</c:v>
                </c:pt>
                <c:pt idx="17">
                  <c:v>3590</c:v>
                </c:pt>
                <c:pt idx="18">
                  <c:v>3484</c:v>
                </c:pt>
                <c:pt idx="19">
                  <c:v>3625</c:v>
                </c:pt>
                <c:pt idx="20">
                  <c:v>3372</c:v>
                </c:pt>
                <c:pt idx="21">
                  <c:v>3319</c:v>
                </c:pt>
                <c:pt idx="22">
                  <c:v>3338</c:v>
                </c:pt>
                <c:pt idx="23">
                  <c:v>3479</c:v>
                </c:pt>
                <c:pt idx="24">
                  <c:v>3502</c:v>
                </c:pt>
              </c:numCache>
            </c:numRef>
          </c:val>
          <c:extLst>
            <c:ext xmlns:c16="http://schemas.microsoft.com/office/drawing/2014/chart" uri="{C3380CC4-5D6E-409C-BE32-E72D297353CC}">
              <c16:uniqueId val="{00000001-C2C6-426D-A600-0429E872D4DB}"/>
            </c:ext>
          </c:extLst>
        </c:ser>
        <c:ser>
          <c:idx val="2"/>
          <c:order val="2"/>
          <c:tx>
            <c:strRef>
              <c:f>'Grafik 3'!$G$59</c:f>
              <c:strCache>
                <c:ptCount val="1"/>
                <c:pt idx="0">
                  <c:v>Sonstige Anmeldungen³</c:v>
                </c:pt>
              </c:strCache>
            </c:strRef>
          </c:tx>
          <c:spPr>
            <a:solidFill>
              <a:schemeClr val="accent3"/>
            </a:solidFill>
            <a:ln>
              <a:noFill/>
            </a:ln>
            <a:effectLst/>
          </c:spPr>
          <c:invertIfNegative val="0"/>
          <c:cat>
            <c:strRef>
              <c:f>'Grafik 3'!$D$60:$D$84</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2023a</c:v>
                </c:pt>
                <c:pt idx="24">
                  <c:v>2024</c:v>
                </c:pt>
              </c:strCache>
            </c:strRef>
          </c:cat>
          <c:val>
            <c:numRef>
              <c:f>'Grafik 3'!$G$60:$G$84</c:f>
              <c:numCache>
                <c:formatCode>#\ ##0</c:formatCode>
                <c:ptCount val="25"/>
                <c:pt idx="0">
                  <c:v>3798</c:v>
                </c:pt>
                <c:pt idx="1">
                  <c:v>3594</c:v>
                </c:pt>
                <c:pt idx="2">
                  <c:v>3608</c:v>
                </c:pt>
                <c:pt idx="3">
                  <c:v>3370</c:v>
                </c:pt>
                <c:pt idx="4">
                  <c:v>3350</c:v>
                </c:pt>
                <c:pt idx="5">
                  <c:v>2968</c:v>
                </c:pt>
                <c:pt idx="6">
                  <c:v>2846</c:v>
                </c:pt>
                <c:pt idx="7">
                  <c:v>2676</c:v>
                </c:pt>
                <c:pt idx="8">
                  <c:v>2630</c:v>
                </c:pt>
                <c:pt idx="9">
                  <c:v>2527</c:v>
                </c:pt>
                <c:pt idx="10">
                  <c:v>2371</c:v>
                </c:pt>
                <c:pt idx="11">
                  <c:v>2308</c:v>
                </c:pt>
                <c:pt idx="12">
                  <c:v>2092</c:v>
                </c:pt>
                <c:pt idx="13">
                  <c:v>1969</c:v>
                </c:pt>
                <c:pt idx="14">
                  <c:v>1955</c:v>
                </c:pt>
                <c:pt idx="15">
                  <c:v>1885</c:v>
                </c:pt>
                <c:pt idx="16">
                  <c:v>1976</c:v>
                </c:pt>
                <c:pt idx="17">
                  <c:v>1963</c:v>
                </c:pt>
                <c:pt idx="18">
                  <c:v>1855</c:v>
                </c:pt>
                <c:pt idx="19">
                  <c:v>1889</c:v>
                </c:pt>
                <c:pt idx="20">
                  <c:v>1949</c:v>
                </c:pt>
                <c:pt idx="21">
                  <c:v>1972</c:v>
                </c:pt>
                <c:pt idx="22">
                  <c:v>1967</c:v>
                </c:pt>
                <c:pt idx="23">
                  <c:v>2133</c:v>
                </c:pt>
                <c:pt idx="24">
                  <c:v>2119</c:v>
                </c:pt>
              </c:numCache>
            </c:numRef>
          </c:val>
          <c:extLst>
            <c:ext xmlns:c16="http://schemas.microsoft.com/office/drawing/2014/chart" uri="{C3380CC4-5D6E-409C-BE32-E72D297353CC}">
              <c16:uniqueId val="{00000002-C2C6-426D-A600-0429E872D4DB}"/>
            </c:ext>
          </c:extLst>
        </c:ser>
        <c:dLbls>
          <c:showLegendKey val="0"/>
          <c:showVal val="0"/>
          <c:showCatName val="0"/>
          <c:showSerName val="0"/>
          <c:showPercent val="0"/>
          <c:showBubbleSize val="0"/>
        </c:dLbls>
        <c:gapWidth val="20"/>
        <c:overlap val="100"/>
        <c:axId val="473918768"/>
        <c:axId val="473912104"/>
      </c:barChart>
      <c:catAx>
        <c:axId val="473918768"/>
        <c:scaling>
          <c:orientation val="minMax"/>
        </c:scaling>
        <c:delete val="0"/>
        <c:axPos val="r"/>
        <c:numFmt formatCode="General" sourceLinked="1"/>
        <c:majorTickMark val="none"/>
        <c:minorTickMark val="none"/>
        <c:tickLblPos val="none"/>
        <c:spPr>
          <a:noFill/>
          <a:ln w="9525" cap="flat" cmpd="sng" algn="ctr">
            <a:solidFill>
              <a:sysClr val="windowText" lastClr="000000"/>
            </a:solidFill>
            <a:round/>
          </a:ln>
          <a:effectLst/>
        </c:spPr>
        <c:txPr>
          <a:bodyPr rot="0" spcFirstLastPara="1" vertOverflow="ellipsis"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473912104"/>
        <c:crosses val="autoZero"/>
        <c:auto val="0"/>
        <c:lblAlgn val="ctr"/>
        <c:lblOffset val="0"/>
        <c:tickMarkSkip val="5"/>
        <c:noMultiLvlLbl val="1"/>
      </c:catAx>
      <c:valAx>
        <c:axId val="473912104"/>
        <c:scaling>
          <c:orientation val="maxMin"/>
          <c:max val="40000"/>
          <c:min val="0"/>
        </c:scaling>
        <c:delete val="0"/>
        <c:axPos val="b"/>
        <c:majorGridlines>
          <c:spPr>
            <a:ln w="9525" cap="flat" cmpd="sng" algn="ctr">
              <a:solidFill>
                <a:sysClr val="window" lastClr="FFFFFF">
                  <a:lumMod val="85000"/>
                </a:sysClr>
              </a:solidFill>
              <a:round/>
            </a:ln>
            <a:effectLst/>
          </c:spPr>
        </c:majorGridlines>
        <c:title>
          <c:tx>
            <c:rich>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de-DE"/>
                  <a:t>Gewerbeanmeldungen</a:t>
                </a:r>
              </a:p>
            </c:rich>
          </c:tx>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title>
        <c:numFmt formatCode="#\ ###\ ##0;\–#\ ###\ ##0" sourceLinked="0"/>
        <c:majorTickMark val="none"/>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473918768"/>
        <c:crosses val="autoZero"/>
        <c:crossBetween val="between"/>
        <c:majorUnit val="5000"/>
        <c:minorUnit val="5000"/>
      </c:valAx>
      <c:spPr>
        <a:solidFill>
          <a:sysClr val="window" lastClr="FFFFFF"/>
        </a:solidFill>
        <a:ln w="6350">
          <a:solidFill>
            <a:sysClr val="window" lastClr="FFFFFF">
              <a:lumMod val="85000"/>
            </a:sysClr>
          </a:solidFill>
        </a:ln>
        <a:effectLst/>
      </c:spPr>
    </c:plotArea>
    <c:legend>
      <c:legendPos val="l"/>
      <c:layout>
        <c:manualLayout>
          <c:xMode val="edge"/>
          <c:yMode val="edge"/>
          <c:x val="5.8053052432262053E-2"/>
          <c:y val="9.309777774632004E-2"/>
          <c:w val="0.27651398341585204"/>
          <c:h val="0.15009559221955615"/>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legend>
    <c:plotVisOnly val="1"/>
    <c:dispBlanksAs val="gap"/>
    <c:showDLblsOverMax val="0"/>
  </c:chart>
  <c:spPr>
    <a:solidFill>
      <a:sysClr val="window" lastClr="FFFFFF"/>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de-DE"/>
    </a:p>
  </c:txPr>
  <c:printSettings>
    <c:headerFooter/>
    <c:pageMargins b="0.78740157499999996" l="0.7" r="0.7" t="0.78740157499999996"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569152046783613E-2"/>
          <c:y val="9.1640811965811961E-2"/>
          <c:w val="0.91100687134502922"/>
          <c:h val="0.77750578703703699"/>
        </c:manualLayout>
      </c:layout>
      <c:barChart>
        <c:barDir val="col"/>
        <c:grouping val="clustered"/>
        <c:varyColors val="0"/>
        <c:ser>
          <c:idx val="2"/>
          <c:order val="0"/>
          <c:tx>
            <c:strRef>
              <c:f>'Grafik 4'!$E$39:$E$40</c:f>
              <c:strCache>
                <c:ptCount val="2"/>
                <c:pt idx="0">
                  <c:v>Insgesamt</c:v>
                </c:pt>
              </c:strCache>
            </c:strRef>
          </c:tx>
          <c:spPr>
            <a:solidFill>
              <a:srgbClr val="77C8D2"/>
            </a:solidFill>
            <a:ln>
              <a:noFill/>
            </a:ln>
            <a:effectLst/>
          </c:spPr>
          <c:invertIfNegative val="0"/>
          <c:cat>
            <c:numRef>
              <c:f>'Grafik 4'!$D$41:$D$64</c:f>
              <c:numCache>
                <c:formatCode>General</c:formatCode>
                <c:ptCount val="2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numCache>
            </c:numRef>
          </c:cat>
          <c:val>
            <c:numRef>
              <c:f>'Grafik 4'!$E$41:$E$64</c:f>
              <c:numCache>
                <c:formatCode>#\ ##0</c:formatCode>
                <c:ptCount val="24"/>
                <c:pt idx="0">
                  <c:v>1737</c:v>
                </c:pt>
                <c:pt idx="1">
                  <c:v>3712</c:v>
                </c:pt>
                <c:pt idx="2">
                  <c:v>4507</c:v>
                </c:pt>
                <c:pt idx="3">
                  <c:v>4984</c:v>
                </c:pt>
                <c:pt idx="4">
                  <c:v>5788</c:v>
                </c:pt>
                <c:pt idx="5">
                  <c:v>7315</c:v>
                </c:pt>
                <c:pt idx="6">
                  <c:v>7181</c:v>
                </c:pt>
                <c:pt idx="7">
                  <c:v>6671</c:v>
                </c:pt>
                <c:pt idx="8">
                  <c:v>6976</c:v>
                </c:pt>
                <c:pt idx="9">
                  <c:v>7287</c:v>
                </c:pt>
                <c:pt idx="10">
                  <c:v>6803</c:v>
                </c:pt>
                <c:pt idx="11">
                  <c:v>6477</c:v>
                </c:pt>
                <c:pt idx="12">
                  <c:v>5928</c:v>
                </c:pt>
                <c:pt idx="13">
                  <c:v>5796</c:v>
                </c:pt>
                <c:pt idx="14">
                  <c:v>5384</c:v>
                </c:pt>
                <c:pt idx="15">
                  <c:v>5067</c:v>
                </c:pt>
                <c:pt idx="16">
                  <c:v>5003</c:v>
                </c:pt>
                <c:pt idx="17">
                  <c:v>4688</c:v>
                </c:pt>
                <c:pt idx="18">
                  <c:v>4713</c:v>
                </c:pt>
                <c:pt idx="19">
                  <c:v>3024</c:v>
                </c:pt>
                <c:pt idx="20">
                  <c:v>5015</c:v>
                </c:pt>
                <c:pt idx="21">
                  <c:v>4376</c:v>
                </c:pt>
                <c:pt idx="22">
                  <c:v>4728</c:v>
                </c:pt>
                <c:pt idx="23">
                  <c:v>5184</c:v>
                </c:pt>
              </c:numCache>
            </c:numRef>
          </c:val>
          <c:extLst>
            <c:ext xmlns:c16="http://schemas.microsoft.com/office/drawing/2014/chart" uri="{C3380CC4-5D6E-409C-BE32-E72D297353CC}">
              <c16:uniqueId val="{00000000-CB0F-4F32-B987-6D18AB6B3FBB}"/>
            </c:ext>
          </c:extLst>
        </c:ser>
        <c:ser>
          <c:idx val="3"/>
          <c:order val="1"/>
          <c:tx>
            <c:strRef>
              <c:f>'Grafik 4'!$F$39:$F$40</c:f>
              <c:strCache>
                <c:ptCount val="2"/>
                <c:pt idx="0">
                  <c:v>Darunter Verbraucher:innen</c:v>
                </c:pt>
                <c:pt idx="1">
                  <c:v>Verbraucher:innen</c:v>
                </c:pt>
              </c:strCache>
            </c:strRef>
          </c:tx>
          <c:spPr>
            <a:solidFill>
              <a:srgbClr val="008F9E"/>
            </a:solidFill>
            <a:ln>
              <a:noFill/>
            </a:ln>
            <a:effectLst/>
          </c:spPr>
          <c:invertIfNegative val="0"/>
          <c:cat>
            <c:numRef>
              <c:f>'Grafik 4'!$D$41:$D$64</c:f>
              <c:numCache>
                <c:formatCode>General</c:formatCode>
                <c:ptCount val="24"/>
                <c:pt idx="0">
                  <c:v>2001</c:v>
                </c:pt>
                <c:pt idx="1">
                  <c:v>2002</c:v>
                </c:pt>
                <c:pt idx="2">
                  <c:v>2003</c:v>
                </c:pt>
                <c:pt idx="3">
                  <c:v>2004</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pt idx="18">
                  <c:v>2019</c:v>
                </c:pt>
                <c:pt idx="19">
                  <c:v>2020</c:v>
                </c:pt>
                <c:pt idx="20">
                  <c:v>2021</c:v>
                </c:pt>
                <c:pt idx="21">
                  <c:v>2022</c:v>
                </c:pt>
                <c:pt idx="22">
                  <c:v>2023</c:v>
                </c:pt>
                <c:pt idx="23">
                  <c:v>2024</c:v>
                </c:pt>
              </c:numCache>
            </c:numRef>
          </c:cat>
          <c:val>
            <c:numRef>
              <c:f>'Grafik 4'!$F$41:$F$64</c:f>
              <c:numCache>
                <c:formatCode>#\ ##0</c:formatCode>
                <c:ptCount val="24"/>
                <c:pt idx="0">
                  <c:v>425</c:v>
                </c:pt>
                <c:pt idx="1">
                  <c:v>772</c:v>
                </c:pt>
                <c:pt idx="2">
                  <c:v>1222</c:v>
                </c:pt>
                <c:pt idx="3">
                  <c:v>1761</c:v>
                </c:pt>
                <c:pt idx="4">
                  <c:v>2788</c:v>
                </c:pt>
                <c:pt idx="5">
                  <c:v>4330</c:v>
                </c:pt>
                <c:pt idx="6">
                  <c:v>4592</c:v>
                </c:pt>
                <c:pt idx="7">
                  <c:v>4223</c:v>
                </c:pt>
                <c:pt idx="8">
                  <c:v>4349</c:v>
                </c:pt>
                <c:pt idx="9">
                  <c:v>4615</c:v>
                </c:pt>
                <c:pt idx="10">
                  <c:v>4412</c:v>
                </c:pt>
                <c:pt idx="11">
                  <c:v>4175</c:v>
                </c:pt>
                <c:pt idx="12">
                  <c:v>3858</c:v>
                </c:pt>
                <c:pt idx="13">
                  <c:v>3835</c:v>
                </c:pt>
                <c:pt idx="14">
                  <c:v>3569</c:v>
                </c:pt>
                <c:pt idx="15">
                  <c:v>3324</c:v>
                </c:pt>
                <c:pt idx="16">
                  <c:v>3237</c:v>
                </c:pt>
                <c:pt idx="17">
                  <c:v>3087</c:v>
                </c:pt>
                <c:pt idx="18">
                  <c:v>3073</c:v>
                </c:pt>
                <c:pt idx="19">
                  <c:v>1859</c:v>
                </c:pt>
                <c:pt idx="20">
                  <c:v>3655</c:v>
                </c:pt>
                <c:pt idx="21">
                  <c:v>2938</c:v>
                </c:pt>
                <c:pt idx="22">
                  <c:v>3068</c:v>
                </c:pt>
                <c:pt idx="23">
                  <c:v>3300</c:v>
                </c:pt>
              </c:numCache>
            </c:numRef>
          </c:val>
          <c:extLst>
            <c:ext xmlns:c16="http://schemas.microsoft.com/office/drawing/2014/chart" uri="{C3380CC4-5D6E-409C-BE32-E72D297353CC}">
              <c16:uniqueId val="{00000001-CB0F-4F32-B987-6D18AB6B3FBB}"/>
            </c:ext>
          </c:extLst>
        </c:ser>
        <c:dLbls>
          <c:showLegendKey val="0"/>
          <c:showVal val="0"/>
          <c:showCatName val="0"/>
          <c:showSerName val="0"/>
          <c:showPercent val="0"/>
          <c:showBubbleSize val="0"/>
        </c:dLbls>
        <c:gapWidth val="25"/>
        <c:overlap val="100"/>
        <c:axId val="336079008"/>
        <c:axId val="336078224"/>
        <c:extLst/>
      </c:barChart>
      <c:catAx>
        <c:axId val="33607900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336078224"/>
        <c:crosses val="autoZero"/>
        <c:auto val="1"/>
        <c:lblAlgn val="ctr"/>
        <c:lblOffset val="100"/>
        <c:noMultiLvlLbl val="0"/>
      </c:catAx>
      <c:valAx>
        <c:axId val="336078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lgn="l">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de-DE"/>
                  <a:t>Anzahl</a:t>
                </a:r>
              </a:p>
            </c:rich>
          </c:tx>
          <c:layout>
            <c:manualLayout>
              <c:xMode val="edge"/>
              <c:yMode val="edge"/>
              <c:x val="6.4985380116959063E-2"/>
              <c:y val="5.2548717948717946E-2"/>
            </c:manualLayout>
          </c:layout>
          <c:overlay val="0"/>
          <c:spPr>
            <a:noFill/>
            <a:ln>
              <a:noFill/>
            </a:ln>
            <a:effectLst/>
          </c:spPr>
          <c:txPr>
            <a:bodyPr rot="0" spcFirstLastPara="1" vertOverflow="ellipsis" wrap="square" anchor="ctr" anchorCtr="1"/>
            <a:lstStyle/>
            <a:p>
              <a:pPr algn="l">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title>
        <c:numFmt formatCode="#\ ##0" sourceLinked="0"/>
        <c:majorTickMark val="none"/>
        <c:minorTickMark val="none"/>
        <c:tickLblPos val="nextTo"/>
        <c:spPr>
          <a:noFill/>
          <a:ln w="9525">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de-DE"/>
          </a:p>
        </c:txPr>
        <c:crossAx val="336079008"/>
        <c:crosses val="autoZero"/>
        <c:crossBetween val="between"/>
        <c:majorUnit val="500"/>
        <c:minorUnit val="500"/>
      </c:valAx>
      <c:spPr>
        <a:solidFill>
          <a:schemeClr val="bg1"/>
        </a:solid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de-DE"/>
    </a:p>
  </c:txPr>
  <c:printSettings>
    <c:headerFooter/>
    <c:pageMargins b="0.78740157499999996" l="0.7" r="0.7" t="0.78740157499999996"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16</xdr:row>
      <xdr:rowOff>79375</xdr:rowOff>
    </xdr:from>
    <xdr:to>
      <xdr:col>11</xdr:col>
      <xdr:colOff>9523</xdr:colOff>
      <xdr:row>34</xdr:row>
      <xdr:rowOff>151600</xdr:rowOff>
    </xdr:to>
    <xdr:pic>
      <xdr:nvPicPr>
        <xdr:cNvPr id="2" name="Grafik 1">
          <a:extLst>
            <a:ext uri="{FF2B5EF4-FFF2-40B4-BE49-F238E27FC236}">
              <a16:creationId xmlns:a16="http://schemas.microsoft.com/office/drawing/2014/main" id="{F06998FA-1C15-4C64-89FE-B8C121961AD8}"/>
            </a:ext>
          </a:extLst>
        </xdr:cNvPr>
        <xdr:cNvPicPr>
          <a:picLocks noChangeAspect="1"/>
        </xdr:cNvPicPr>
      </xdr:nvPicPr>
      <xdr:blipFill rotWithShape="1">
        <a:blip xmlns:r="http://schemas.openxmlformats.org/officeDocument/2006/relationships" r:embed="rId1"/>
        <a:srcRect t="22258" b="22"/>
        <a:stretch/>
      </xdr:blipFill>
      <xdr:spPr>
        <a:xfrm>
          <a:off x="0" y="4070350"/>
          <a:ext cx="9915523" cy="2844000"/>
        </a:xfrm>
        <a:prstGeom prst="rect">
          <a:avLst/>
        </a:prstGeom>
      </xdr:spPr>
    </xdr:pic>
    <xdr:clientData/>
  </xdr:twoCellAnchor>
  <xdr:twoCellAnchor editAs="oneCell">
    <xdr:from>
      <xdr:col>8</xdr:col>
      <xdr:colOff>656475</xdr:colOff>
      <xdr:row>1</xdr:row>
      <xdr:rowOff>0</xdr:rowOff>
    </xdr:from>
    <xdr:to>
      <xdr:col>11</xdr:col>
      <xdr:colOff>0</xdr:colOff>
      <xdr:row>6</xdr:row>
      <xdr:rowOff>181725</xdr:rowOff>
    </xdr:to>
    <xdr:pic>
      <xdr:nvPicPr>
        <xdr:cNvPr id="3" name="Grafik 2">
          <a:extLst>
            <a:ext uri="{FF2B5EF4-FFF2-40B4-BE49-F238E27FC236}">
              <a16:creationId xmlns:a16="http://schemas.microsoft.com/office/drawing/2014/main" id="{7156C41C-8687-4172-8D41-C4C07837BDFC}"/>
            </a:ext>
          </a:extLst>
        </xdr:cNvPr>
        <xdr:cNvPicPr>
          <a:picLocks noChangeAspect="1"/>
        </xdr:cNvPicPr>
      </xdr:nvPicPr>
      <xdr:blipFill>
        <a:blip xmlns:r="http://schemas.openxmlformats.org/officeDocument/2006/relationships" r:embed="rId2"/>
        <a:stretch>
          <a:fillRect/>
        </a:stretch>
      </xdr:blipFill>
      <xdr:spPr>
        <a:xfrm>
          <a:off x="8286000" y="190500"/>
          <a:ext cx="1620000" cy="162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5720850</xdr:colOff>
      <xdr:row>0</xdr:row>
      <xdr:rowOff>0</xdr:rowOff>
    </xdr:from>
    <xdr:to>
      <xdr:col>4</xdr:col>
      <xdr:colOff>0</xdr:colOff>
      <xdr:row>3</xdr:row>
      <xdr:rowOff>3675</xdr:rowOff>
    </xdr:to>
    <xdr:pic>
      <xdr:nvPicPr>
        <xdr:cNvPr id="3" name="Grafik 2">
          <a:extLst>
            <a:ext uri="{FF2B5EF4-FFF2-40B4-BE49-F238E27FC236}">
              <a16:creationId xmlns:a16="http://schemas.microsoft.com/office/drawing/2014/main" id="{7B093394-0B13-4A5D-BDC4-465694C5EB49}"/>
            </a:ext>
          </a:extLst>
        </xdr:cNvPr>
        <xdr:cNvPicPr>
          <a:picLocks noChangeAspect="1"/>
        </xdr:cNvPicPr>
      </xdr:nvPicPr>
      <xdr:blipFill>
        <a:blip xmlns:r="http://schemas.openxmlformats.org/officeDocument/2006/relationships" r:embed="rId1"/>
        <a:stretch>
          <a:fillRect/>
        </a:stretch>
      </xdr:blipFill>
      <xdr:spPr>
        <a:xfrm>
          <a:off x="7340100" y="0"/>
          <a:ext cx="1080000" cy="108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5720850</xdr:colOff>
      <xdr:row>0</xdr:row>
      <xdr:rowOff>0</xdr:rowOff>
    </xdr:from>
    <xdr:to>
      <xdr:col>4</xdr:col>
      <xdr:colOff>0</xdr:colOff>
      <xdr:row>3</xdr:row>
      <xdr:rowOff>3675</xdr:rowOff>
    </xdr:to>
    <xdr:pic>
      <xdr:nvPicPr>
        <xdr:cNvPr id="5" name="Grafik 4">
          <a:extLst>
            <a:ext uri="{FF2B5EF4-FFF2-40B4-BE49-F238E27FC236}">
              <a16:creationId xmlns:a16="http://schemas.microsoft.com/office/drawing/2014/main" id="{656DB836-D7A3-4C3F-945D-45EB4F0C6BED}"/>
            </a:ext>
          </a:extLst>
        </xdr:cNvPr>
        <xdr:cNvPicPr>
          <a:picLocks noChangeAspect="1"/>
        </xdr:cNvPicPr>
      </xdr:nvPicPr>
      <xdr:blipFill>
        <a:blip xmlns:r="http://schemas.openxmlformats.org/officeDocument/2006/relationships" r:embed="rId1"/>
        <a:stretch>
          <a:fillRect/>
        </a:stretch>
      </xdr:blipFill>
      <xdr:spPr>
        <a:xfrm>
          <a:off x="7340100" y="0"/>
          <a:ext cx="1080000" cy="108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5720850</xdr:colOff>
      <xdr:row>0</xdr:row>
      <xdr:rowOff>0</xdr:rowOff>
    </xdr:from>
    <xdr:to>
      <xdr:col>4</xdr:col>
      <xdr:colOff>0</xdr:colOff>
      <xdr:row>3</xdr:row>
      <xdr:rowOff>3675</xdr:rowOff>
    </xdr:to>
    <xdr:pic>
      <xdr:nvPicPr>
        <xdr:cNvPr id="3" name="Grafik 2">
          <a:extLst>
            <a:ext uri="{FF2B5EF4-FFF2-40B4-BE49-F238E27FC236}">
              <a16:creationId xmlns:a16="http://schemas.microsoft.com/office/drawing/2014/main" id="{BB8F12A1-08B7-4650-B300-00409ED3F570}"/>
            </a:ext>
          </a:extLst>
        </xdr:cNvPr>
        <xdr:cNvPicPr>
          <a:picLocks noChangeAspect="1"/>
        </xdr:cNvPicPr>
      </xdr:nvPicPr>
      <xdr:blipFill>
        <a:blip xmlns:r="http://schemas.openxmlformats.org/officeDocument/2006/relationships" r:embed="rId1"/>
        <a:stretch>
          <a:fillRect/>
        </a:stretch>
      </xdr:blipFill>
      <xdr:spPr>
        <a:xfrm>
          <a:off x="7340100" y="0"/>
          <a:ext cx="1080000" cy="1080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5</xdr:row>
      <xdr:rowOff>123825</xdr:rowOff>
    </xdr:from>
    <xdr:to>
      <xdr:col>6</xdr:col>
      <xdr:colOff>0</xdr:colOff>
      <xdr:row>35</xdr:row>
      <xdr:rowOff>0</xdr:rowOff>
    </xdr:to>
    <xdr:grpSp>
      <xdr:nvGrpSpPr>
        <xdr:cNvPr id="2" name="Gruppieren 1">
          <a:extLst>
            <a:ext uri="{FF2B5EF4-FFF2-40B4-BE49-F238E27FC236}">
              <a16:creationId xmlns:a16="http://schemas.microsoft.com/office/drawing/2014/main" id="{9D92D8F8-2353-4F4E-AA24-9660FD675168}"/>
            </a:ext>
          </a:extLst>
        </xdr:cNvPr>
        <xdr:cNvGrpSpPr/>
      </xdr:nvGrpSpPr>
      <xdr:grpSpPr>
        <a:xfrm>
          <a:off x="1562100" y="1983105"/>
          <a:ext cx="6583680" cy="4219575"/>
          <a:chOff x="6972300" y="1114427"/>
          <a:chExt cx="8373718" cy="5581650"/>
        </a:xfrm>
        <a:solidFill>
          <a:schemeClr val="bg1"/>
        </a:solidFill>
      </xdr:grpSpPr>
      <xdr:grpSp>
        <xdr:nvGrpSpPr>
          <xdr:cNvPr id="3" name="Gruppieren 2">
            <a:extLst>
              <a:ext uri="{FF2B5EF4-FFF2-40B4-BE49-F238E27FC236}">
                <a16:creationId xmlns:a16="http://schemas.microsoft.com/office/drawing/2014/main" id="{A9101014-059E-4041-A13A-60FE2318EE4E}"/>
              </a:ext>
            </a:extLst>
          </xdr:cNvPr>
          <xdr:cNvGrpSpPr/>
        </xdr:nvGrpSpPr>
        <xdr:grpSpPr>
          <a:xfrm>
            <a:off x="6972300" y="1114427"/>
            <a:ext cx="8373718" cy="5581650"/>
            <a:chOff x="7143750" y="38101"/>
            <a:chExt cx="8373718" cy="5581650"/>
          </a:xfrm>
          <a:grpFill/>
        </xdr:grpSpPr>
        <xdr:sp macro="" textlink="">
          <xdr:nvSpPr>
            <xdr:cNvPr id="5" name="Rechteck 4">
              <a:extLst>
                <a:ext uri="{FF2B5EF4-FFF2-40B4-BE49-F238E27FC236}">
                  <a16:creationId xmlns:a16="http://schemas.microsoft.com/office/drawing/2014/main" id="{364ACDD8-FA8B-442C-93D0-9E26D8ADEFC7}"/>
                </a:ext>
              </a:extLst>
            </xdr:cNvPr>
            <xdr:cNvSpPr/>
          </xdr:nvSpPr>
          <xdr:spPr>
            <a:xfrm>
              <a:off x="7143750" y="38101"/>
              <a:ext cx="8373718" cy="5581650"/>
            </a:xfrm>
            <a:prstGeom prst="rect">
              <a:avLst/>
            </a:prstGeom>
            <a:grp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latin typeface="Arial" panose="020B0604020202020204" pitchFamily="34" charset="0"/>
                <a:cs typeface="Arial" panose="020B0604020202020204" pitchFamily="34" charset="0"/>
              </a:endParaRPr>
            </a:p>
          </xdr:txBody>
        </xdr:sp>
        <xdr:graphicFrame macro="">
          <xdr:nvGraphicFramePr>
            <xdr:cNvPr id="6" name="Diagramm 5">
              <a:extLst>
                <a:ext uri="{FF2B5EF4-FFF2-40B4-BE49-F238E27FC236}">
                  <a16:creationId xmlns:a16="http://schemas.microsoft.com/office/drawing/2014/main" id="{4ED62050-9C37-4E7D-A985-315F6E089A05}"/>
                </a:ext>
              </a:extLst>
            </xdr:cNvPr>
            <xdr:cNvGraphicFramePr>
              <a:graphicFrameLocks/>
            </xdr:cNvGraphicFramePr>
          </xdr:nvGraphicFramePr>
          <xdr:xfrm>
            <a:off x="7200140" y="306806"/>
            <a:ext cx="4124740" cy="470338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7" name="Diagramm 6">
              <a:extLst>
                <a:ext uri="{FF2B5EF4-FFF2-40B4-BE49-F238E27FC236}">
                  <a16:creationId xmlns:a16="http://schemas.microsoft.com/office/drawing/2014/main" id="{E459300B-DF10-4078-BAF7-D61D5A6A812D}"/>
                </a:ext>
              </a:extLst>
            </xdr:cNvPr>
            <xdr:cNvGraphicFramePr>
              <a:graphicFrameLocks/>
            </xdr:cNvGraphicFramePr>
          </xdr:nvGraphicFramePr>
          <xdr:xfrm>
            <a:off x="11356667" y="289095"/>
            <a:ext cx="4123634" cy="4745001"/>
          </xdr:xfrm>
          <a:graphic>
            <a:graphicData uri="http://schemas.openxmlformats.org/drawingml/2006/chart">
              <c:chart xmlns:c="http://schemas.openxmlformats.org/drawingml/2006/chart" xmlns:r="http://schemas.openxmlformats.org/officeDocument/2006/relationships" r:id="rId2"/>
            </a:graphicData>
          </a:graphic>
        </xdr:graphicFrame>
      </xdr:grpSp>
      <xdr:sp macro="" textlink="">
        <xdr:nvSpPr>
          <xdr:cNvPr id="4" name="Textfeld 1">
            <a:extLst>
              <a:ext uri="{FF2B5EF4-FFF2-40B4-BE49-F238E27FC236}">
                <a16:creationId xmlns:a16="http://schemas.microsoft.com/office/drawing/2014/main" id="{CDA21DBF-185C-45FB-92D6-A894E2D4FBC6}"/>
              </a:ext>
            </a:extLst>
          </xdr:cNvPr>
          <xdr:cNvSpPr txBox="1"/>
        </xdr:nvSpPr>
        <xdr:spPr>
          <a:xfrm>
            <a:off x="7124700" y="6296025"/>
            <a:ext cx="6870004" cy="390524"/>
          </a:xfrm>
          <a:prstGeom prst="rect">
            <a:avLst/>
          </a:prstGeom>
          <a:grpFill/>
          <a:ln>
            <a:noFill/>
          </a:ln>
        </xdr:spPr>
        <xdr:txBody>
          <a:bodyPr wrap="square" lIns="0" tIns="0" rIns="0" bIns="0"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de-DE" sz="800" baseline="30000">
                <a:latin typeface="Arial" panose="020B0604020202020204" pitchFamily="34" charset="0"/>
                <a:cs typeface="Arial" panose="020B0604020202020204" pitchFamily="34" charset="0"/>
              </a:rPr>
              <a:t>1</a:t>
            </a:r>
            <a:r>
              <a:rPr lang="de-DE" sz="800">
                <a:latin typeface="Arial" panose="020B0604020202020204" pitchFamily="34" charset="0"/>
                <a:cs typeface="Arial" panose="020B0604020202020204" pitchFamily="34" charset="0"/>
              </a:rPr>
              <a:t>  Klassifikation der Wirtschaftszweige, Ausgabe 2008 (WZ 2008)</a:t>
            </a:r>
          </a:p>
          <a:p>
            <a:pPr>
              <a:lnSpc>
                <a:spcPct val="150000"/>
              </a:lnSpc>
            </a:pPr>
            <a:r>
              <a:rPr lang="de-DE" sz="800">
                <a:latin typeface="Arial" panose="020B0604020202020204" pitchFamily="34" charset="0"/>
                <a:cs typeface="Arial" panose="020B0604020202020204" pitchFamily="34" charset="0"/>
              </a:rPr>
              <a:t>Quelle: Arbeitskreis Volkswirtschaftliche Gesamtrechnungen der </a:t>
            </a:r>
            <a:r>
              <a:rPr lang="de-DE" sz="800">
                <a:solidFill>
                  <a:sysClr val="windowText" lastClr="000000"/>
                </a:solidFill>
                <a:latin typeface="Arial" panose="020B0604020202020204" pitchFamily="34" charset="0"/>
                <a:cs typeface="Arial" panose="020B0604020202020204" pitchFamily="34" charset="0"/>
              </a:rPr>
              <a:t>Länder; </a:t>
            </a:r>
            <a:r>
              <a:rPr lang="de-DE" sz="800">
                <a:solidFill>
                  <a:sysClr val="windowText" lastClr="000000"/>
                </a:solidFill>
                <a:latin typeface="Arial" panose="020B0604020202020204" pitchFamily="34" charset="0"/>
                <a:ea typeface="+mn-ea"/>
                <a:cs typeface="Arial" panose="020B0604020202020204" pitchFamily="34" charset="0"/>
              </a:rPr>
              <a:t>Berechnungsstand Februar 2025</a:t>
            </a:r>
          </a:p>
        </xdr:txBody>
      </xdr:sp>
    </xdr:grpSp>
    <xdr:clientData/>
  </xdr:twoCellAnchor>
</xdr:wsDr>
</file>

<file path=xl/drawings/drawing6.xml><?xml version="1.0" encoding="utf-8"?>
<c:userShapes xmlns:c="http://schemas.openxmlformats.org/drawingml/2006/chart">
  <cdr:relSizeAnchor xmlns:cdr="http://schemas.openxmlformats.org/drawingml/2006/chartDrawing">
    <cdr:from>
      <cdr:x>0.43721</cdr:x>
      <cdr:y>0.42376</cdr:y>
    </cdr:from>
    <cdr:to>
      <cdr:x>0.62276</cdr:x>
      <cdr:y>0.67003</cdr:y>
    </cdr:to>
    <cdr:sp macro="" textlink="">
      <cdr:nvSpPr>
        <cdr:cNvPr id="2" name="Textfeld 1"/>
        <cdr:cNvSpPr txBox="1"/>
      </cdr:nvSpPr>
      <cdr:spPr>
        <a:xfrm xmlns:a="http://schemas.openxmlformats.org/drawingml/2006/main">
          <a:off x="1550793" y="1588363"/>
          <a:ext cx="658140" cy="923084"/>
        </a:xfrm>
        <a:prstGeom xmlns:a="http://schemas.openxmlformats.org/drawingml/2006/main" prst="rect">
          <a:avLst/>
        </a:prstGeom>
      </cdr:spPr>
      <cdr:txBody>
        <a:bodyPr xmlns:a="http://schemas.openxmlformats.org/drawingml/2006/main" vertOverflow="clip" wrap="square" lIns="0" tIns="0" rIns="0" bIns="0" rtlCol="0" anchor="ctr"/>
        <a:lstStyle xmlns:a="http://schemas.openxmlformats.org/drawingml/2006/main"/>
        <a:p xmlns:a="http://schemas.openxmlformats.org/drawingml/2006/main">
          <a:pPr algn="ctr"/>
          <a:r>
            <a:rPr lang="en-US" sz="900">
              <a:latin typeface="Arial" panose="020B0604020202020204" pitchFamily="34" charset="0"/>
              <a:cs typeface="Arial" panose="020B0604020202020204" pitchFamily="34" charset="0"/>
            </a:rPr>
            <a:t>Insgesamt</a:t>
          </a:r>
        </a:p>
        <a:p xmlns:a="http://schemas.openxmlformats.org/drawingml/2006/main">
          <a:pPr algn="ctr"/>
          <a:r>
            <a:rPr lang="en-US" sz="900">
              <a:latin typeface="Arial" panose="020B0604020202020204" pitchFamily="34" charset="0"/>
              <a:cs typeface="Arial" panose="020B0604020202020204" pitchFamily="34" charset="0"/>
            </a:rPr>
            <a:t>in Mio. Euro</a:t>
          </a:r>
        </a:p>
        <a:p xmlns:a="http://schemas.openxmlformats.org/drawingml/2006/main">
          <a:pPr algn="ctr"/>
          <a:r>
            <a:rPr lang="en-US" sz="900" b="1">
              <a:latin typeface="Arial" panose="020B0604020202020204" pitchFamily="34" charset="0"/>
              <a:cs typeface="Arial" panose="020B0604020202020204" pitchFamily="34" charset="0"/>
            </a:rPr>
            <a:t>57 916</a:t>
          </a:r>
        </a:p>
      </cdr:txBody>
    </cdr:sp>
  </cdr:relSizeAnchor>
</c:userShapes>
</file>

<file path=xl/drawings/drawing7.xml><?xml version="1.0" encoding="utf-8"?>
<c:userShapes xmlns:c="http://schemas.openxmlformats.org/drawingml/2006/chart">
  <cdr:relSizeAnchor xmlns:cdr="http://schemas.openxmlformats.org/drawingml/2006/chartDrawing">
    <cdr:from>
      <cdr:x>0.42549</cdr:x>
      <cdr:y>0.44266</cdr:y>
    </cdr:from>
    <cdr:to>
      <cdr:x>0.61911</cdr:x>
      <cdr:y>0.6272</cdr:y>
    </cdr:to>
    <cdr:sp macro="" textlink="">
      <cdr:nvSpPr>
        <cdr:cNvPr id="3" name="Textfeld 1"/>
        <cdr:cNvSpPr txBox="1"/>
      </cdr:nvSpPr>
      <cdr:spPr>
        <a:xfrm xmlns:a="http://schemas.openxmlformats.org/drawingml/2006/main">
          <a:off x="1508822" y="1673886"/>
          <a:ext cx="686592" cy="697840"/>
        </a:xfrm>
        <a:prstGeom xmlns:a="http://schemas.openxmlformats.org/drawingml/2006/main" prst="rect">
          <a:avLst/>
        </a:prstGeom>
      </cdr:spPr>
      <cdr:txBody>
        <a:bodyPr xmlns:a="http://schemas.openxmlformats.org/drawingml/2006/main" wrap="square" lIns="0" tIns="0" rIns="0" bIns="0"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900">
              <a:latin typeface="Arial" panose="020B0604020202020204" pitchFamily="34" charset="0"/>
              <a:cs typeface="Arial" panose="020B0604020202020204" pitchFamily="34" charset="0"/>
            </a:rPr>
            <a:t>Insgesamt</a:t>
          </a:r>
        </a:p>
        <a:p xmlns:a="http://schemas.openxmlformats.org/drawingml/2006/main">
          <a:pPr algn="ctr"/>
          <a:r>
            <a:rPr lang="en-US" sz="900">
              <a:latin typeface="Arial" panose="020B0604020202020204" pitchFamily="34" charset="0"/>
              <a:cs typeface="Arial" panose="020B0604020202020204" pitchFamily="34" charset="0"/>
            </a:rPr>
            <a:t>in Mio. Euro</a:t>
          </a:r>
        </a:p>
        <a:p xmlns:a="http://schemas.openxmlformats.org/drawingml/2006/main">
          <a:pPr marL="0" indent="0" algn="ctr"/>
          <a:r>
            <a:rPr lang="en-US" sz="900" b="1">
              <a:solidFill>
                <a:sysClr val="windowText" lastClr="000000"/>
              </a:solidFill>
              <a:latin typeface="Arial" panose="020B0604020202020204" pitchFamily="34" charset="0"/>
              <a:ea typeface="+mn-ea"/>
              <a:cs typeface="Arial" panose="020B0604020202020204" pitchFamily="34" charset="0"/>
            </a:rPr>
            <a:t>114</a:t>
          </a:r>
          <a:r>
            <a:rPr lang="en-US" sz="900" b="1" baseline="0">
              <a:solidFill>
                <a:sysClr val="windowText" lastClr="000000"/>
              </a:solidFill>
              <a:latin typeface="Arial" panose="020B0604020202020204" pitchFamily="34" charset="0"/>
              <a:ea typeface="+mn-ea"/>
              <a:cs typeface="Arial" panose="020B0604020202020204" pitchFamily="34" charset="0"/>
            </a:rPr>
            <a:t> 874</a:t>
          </a:r>
          <a:endParaRPr lang="de-DE" sz="900" b="1">
            <a:solidFill>
              <a:sysClr val="windowText" lastClr="000000"/>
            </a:solidFill>
            <a:latin typeface="Arial" panose="020B0604020202020204" pitchFamily="34" charset="0"/>
            <a:ea typeface="+mn-ea"/>
            <a:cs typeface="Arial" panose="020B0604020202020204" pitchFamily="34" charset="0"/>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3</xdr:col>
      <xdr:colOff>1</xdr:colOff>
      <xdr:row>5</xdr:row>
      <xdr:rowOff>123825</xdr:rowOff>
    </xdr:from>
    <xdr:to>
      <xdr:col>6</xdr:col>
      <xdr:colOff>0</xdr:colOff>
      <xdr:row>33</xdr:row>
      <xdr:rowOff>0</xdr:rowOff>
    </xdr:to>
    <xdr:graphicFrame macro="">
      <xdr:nvGraphicFramePr>
        <xdr:cNvPr id="2" name="Diagramm 1">
          <a:extLst>
            <a:ext uri="{FF2B5EF4-FFF2-40B4-BE49-F238E27FC236}">
              <a16:creationId xmlns:a16="http://schemas.microsoft.com/office/drawing/2014/main" id="{A04CFCA7-EB54-4F45-A981-AEB9662F94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0.01328</cdr:x>
      <cdr:y>0.92414</cdr:y>
    </cdr:from>
    <cdr:to>
      <cdr:x>0.99734</cdr:x>
      <cdr:y>0.99358</cdr:y>
    </cdr:to>
    <cdr:sp macro="" textlink="">
      <cdr:nvSpPr>
        <cdr:cNvPr id="4" name="Textfeld 3"/>
        <cdr:cNvSpPr txBox="1"/>
      </cdr:nvSpPr>
      <cdr:spPr>
        <a:xfrm xmlns:a="http://schemas.openxmlformats.org/drawingml/2006/main">
          <a:off x="95248" y="3829050"/>
          <a:ext cx="7057998" cy="287725"/>
        </a:xfrm>
        <a:prstGeom xmlns:a="http://schemas.openxmlformats.org/drawingml/2006/main" prst="rect">
          <a:avLst/>
        </a:prstGeom>
      </cdr:spPr>
      <cdr:txBody>
        <a:bodyPr xmlns:a="http://schemas.openxmlformats.org/drawingml/2006/main" vertOverflow="clip" wrap="square" lIns="36000" tIns="0" rIns="36000" bIns="0" rtlCol="0"/>
        <a:lstStyle xmlns:a="http://schemas.openxmlformats.org/drawingml/2006/main"/>
        <a:p xmlns:a="http://schemas.openxmlformats.org/drawingml/2006/main">
          <a:pPr marL="360000" indent="-360000" algn="l"/>
          <a:r>
            <a:rPr lang="de-DE" sz="800">
              <a:solidFill>
                <a:schemeClr val="tx1"/>
              </a:solidFill>
              <a:latin typeface="Arial" panose="020B0604020202020204" pitchFamily="34" charset="0"/>
              <a:cs typeface="Arial" panose="020B0604020202020204" pitchFamily="34" charset="0"/>
            </a:rPr>
            <a:t>Quellen: Arbeitskreis Erwerbstätigenrechnung der Länder; Arbeitskreis Volkswirtschaftliche Gesamtrechnungen der Länder; </a:t>
          </a:r>
          <a:br>
            <a:rPr lang="de-DE" sz="800">
              <a:solidFill>
                <a:schemeClr val="tx1"/>
              </a:solidFill>
              <a:latin typeface="Arial" panose="020B0604020202020204" pitchFamily="34" charset="0"/>
              <a:cs typeface="Arial" panose="020B0604020202020204" pitchFamily="34" charset="0"/>
            </a:rPr>
          </a:br>
          <a:r>
            <a:rPr lang="de-DE" sz="800">
              <a:solidFill>
                <a:schemeClr val="tx1"/>
              </a:solidFill>
              <a:latin typeface="Arial" panose="020B0604020202020204" pitchFamily="34" charset="0"/>
              <a:cs typeface="Arial" panose="020B0604020202020204" pitchFamily="34" charset="0"/>
            </a:rPr>
            <a:t>  </a:t>
          </a:r>
          <a:r>
            <a:rPr lang="de-DE" sz="800">
              <a:solidFill>
                <a:sysClr val="windowText" lastClr="000000"/>
              </a:solidFill>
              <a:latin typeface="Arial" panose="020B0604020202020204" pitchFamily="34" charset="0"/>
              <a:cs typeface="Arial" panose="020B0604020202020204" pitchFamily="34" charset="0"/>
            </a:rPr>
            <a:t>Berechnungsstand Februar 2025</a:t>
          </a:r>
        </a:p>
      </cdr:txBody>
    </cdr:sp>
  </cdr:relSizeAnchor>
</c:userShapes>
</file>

<file path=xl/drawings/drawing10.xml><?xml version="1.0" encoding="utf-8"?>
<xdr:wsDr xmlns:xdr="http://schemas.openxmlformats.org/drawingml/2006/spreadsheetDrawing" xmlns:a="http://schemas.openxmlformats.org/drawingml/2006/main">
  <xdr:twoCellAnchor>
    <xdr:from>
      <xdr:col>3</xdr:col>
      <xdr:colOff>19049</xdr:colOff>
      <xdr:row>5</xdr:row>
      <xdr:rowOff>152400</xdr:rowOff>
    </xdr:from>
    <xdr:to>
      <xdr:col>12</xdr:col>
      <xdr:colOff>266700</xdr:colOff>
      <xdr:row>54</xdr:row>
      <xdr:rowOff>66674</xdr:rowOff>
    </xdr:to>
    <xdr:sp macro="" textlink="">
      <xdr:nvSpPr>
        <xdr:cNvPr id="2" name="Rechteck 1">
          <a:extLst>
            <a:ext uri="{FF2B5EF4-FFF2-40B4-BE49-F238E27FC236}">
              <a16:creationId xmlns:a16="http://schemas.microsoft.com/office/drawing/2014/main" id="{D16EC00A-85F0-4373-8816-3BCB3464BABF}"/>
            </a:ext>
          </a:extLst>
        </xdr:cNvPr>
        <xdr:cNvSpPr/>
      </xdr:nvSpPr>
      <xdr:spPr>
        <a:xfrm>
          <a:off x="1724024" y="1581150"/>
          <a:ext cx="8896351" cy="7400924"/>
        </a:xfrm>
        <a:prstGeom prst="rect">
          <a:avLst/>
        </a:prstGeom>
        <a:solidFill>
          <a:schemeClr val="bg1"/>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6</xdr:col>
      <xdr:colOff>556328</xdr:colOff>
      <xdr:row>6</xdr:row>
      <xdr:rowOff>57528</xdr:rowOff>
    </xdr:from>
    <xdr:to>
      <xdr:col>12</xdr:col>
      <xdr:colOff>487679</xdr:colOff>
      <xdr:row>51</xdr:row>
      <xdr:rowOff>7620</xdr:rowOff>
    </xdr:to>
    <xdr:graphicFrame macro="">
      <xdr:nvGraphicFramePr>
        <xdr:cNvPr id="3" name="Diagramm 2">
          <a:extLst>
            <a:ext uri="{FF2B5EF4-FFF2-40B4-BE49-F238E27FC236}">
              <a16:creationId xmlns:a16="http://schemas.microsoft.com/office/drawing/2014/main" id="{94A396E4-E610-4221-926B-5DD7A88E5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320675</xdr:colOff>
      <xdr:row>6</xdr:row>
      <xdr:rowOff>66674</xdr:rowOff>
    </xdr:from>
    <xdr:to>
      <xdr:col>8</xdr:col>
      <xdr:colOff>37175</xdr:colOff>
      <xdr:row>51</xdr:row>
      <xdr:rowOff>30480</xdr:rowOff>
    </xdr:to>
    <xdr:graphicFrame macro="">
      <xdr:nvGraphicFramePr>
        <xdr:cNvPr id="4" name="Diagramm 3">
          <a:extLst>
            <a:ext uri="{FF2B5EF4-FFF2-40B4-BE49-F238E27FC236}">
              <a16:creationId xmlns:a16="http://schemas.microsoft.com/office/drawing/2014/main" id="{0312A7FA-81C3-4D5F-BBB2-8FF5ABD23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428625</xdr:colOff>
      <xdr:row>50</xdr:row>
      <xdr:rowOff>102871</xdr:rowOff>
    </xdr:from>
    <xdr:to>
      <xdr:col>7</xdr:col>
      <xdr:colOff>133350</xdr:colOff>
      <xdr:row>55</xdr:row>
      <xdr:rowOff>55245</xdr:rowOff>
    </xdr:to>
    <xdr:sp macro="" textlink="">
      <xdr:nvSpPr>
        <xdr:cNvPr id="5" name="Textfeld 4">
          <a:extLst>
            <a:ext uri="{FF2B5EF4-FFF2-40B4-BE49-F238E27FC236}">
              <a16:creationId xmlns:a16="http://schemas.microsoft.com/office/drawing/2014/main" id="{A6301E99-E151-4C5E-B163-A30B2DEC71D7}"/>
            </a:ext>
          </a:extLst>
        </xdr:cNvPr>
        <xdr:cNvSpPr txBox="1"/>
      </xdr:nvSpPr>
      <xdr:spPr>
        <a:xfrm>
          <a:off x="2133600" y="8408671"/>
          <a:ext cx="3819525" cy="714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800" b="0" i="0" u="none" strike="noStrike" baseline="30000">
              <a:solidFill>
                <a:sysClr val="windowText" lastClr="000000"/>
              </a:solidFill>
              <a:effectLst/>
              <a:latin typeface="Arial" panose="020B0604020202020204" pitchFamily="34" charset="0"/>
              <a:ea typeface="+mn-ea"/>
              <a:cs typeface="Arial" panose="020B0604020202020204" pitchFamily="34" charset="0"/>
            </a:rPr>
            <a:t>1</a:t>
          </a:r>
          <a:r>
            <a:rPr lang="de-DE" sz="800" b="0" i="0" u="none" strike="noStrike">
              <a:solidFill>
                <a:sysClr val="windowText" lastClr="000000"/>
              </a:solidFill>
              <a:effectLst/>
              <a:latin typeface="Arial" panose="020B0604020202020204" pitchFamily="34" charset="0"/>
              <a:ea typeface="+mn-ea"/>
              <a:cs typeface="Arial" panose="020B0604020202020204" pitchFamily="34" charset="0"/>
            </a:rPr>
            <a:t> ohne Reise- und Automatenaufstellgewerbe sowie GmbH und UG in Gründung</a:t>
          </a:r>
          <a:r>
            <a:rPr lang="de-DE" sz="800">
              <a:solidFill>
                <a:sysClr val="windowText" lastClr="000000"/>
              </a:solidFill>
              <a:latin typeface="Arial" panose="020B0604020202020204" pitchFamily="34" charset="0"/>
              <a:cs typeface="Arial" panose="020B0604020202020204" pitchFamily="34" charset="0"/>
            </a:rPr>
            <a:t> </a:t>
          </a:r>
        </a:p>
        <a:p>
          <a:r>
            <a:rPr lang="de-DE" sz="800" b="0" i="0" u="none" strike="noStrike" baseline="30000">
              <a:solidFill>
                <a:sysClr val="windowText" lastClr="000000"/>
              </a:solidFill>
              <a:effectLst/>
              <a:latin typeface="Arial" panose="020B0604020202020204" pitchFamily="34" charset="0"/>
              <a:ea typeface="+mn-ea"/>
              <a:cs typeface="Arial" panose="020B0604020202020204" pitchFamily="34" charset="0"/>
            </a:rPr>
            <a:t>2</a:t>
          </a:r>
          <a:r>
            <a:rPr lang="de-DE" sz="800" b="0" i="0" u="none" strike="noStrike">
              <a:solidFill>
                <a:sysClr val="windowText" lastClr="000000"/>
              </a:solidFill>
              <a:effectLst/>
              <a:latin typeface="Arial" panose="020B0604020202020204" pitchFamily="34" charset="0"/>
              <a:ea typeface="+mn-ea"/>
              <a:cs typeface="Arial" panose="020B0604020202020204" pitchFamily="34" charset="0"/>
            </a:rPr>
            <a:t> Neugründungen bzw. vollständige Aufgaben oder Umwandlungen von</a:t>
          </a:r>
          <a:r>
            <a:rPr lang="de-DE" sz="800" b="0" i="0" u="none" strike="noStrike" baseline="0">
              <a:solidFill>
                <a:sysClr val="windowText" lastClr="000000"/>
              </a:solidFill>
              <a:effectLst/>
              <a:latin typeface="Arial" panose="020B0604020202020204" pitchFamily="34" charset="0"/>
              <a:ea typeface="+mn-ea"/>
              <a:cs typeface="Arial" panose="020B0604020202020204" pitchFamily="34" charset="0"/>
            </a:rPr>
            <a:t> Gewerben</a:t>
          </a:r>
          <a:r>
            <a:rPr lang="de-DE" sz="800">
              <a:solidFill>
                <a:sysClr val="windowText" lastClr="000000"/>
              </a:solidFill>
              <a:latin typeface="Arial" panose="020B0604020202020204" pitchFamily="34" charset="0"/>
              <a:cs typeface="Arial" panose="020B0604020202020204" pitchFamily="34" charset="0"/>
            </a:rPr>
            <a:t> </a:t>
          </a:r>
        </a:p>
      </xdr:txBody>
    </xdr:sp>
    <xdr:clientData/>
  </xdr:twoCellAnchor>
  <xdr:twoCellAnchor>
    <xdr:from>
      <xdr:col>6</xdr:col>
      <xdr:colOff>838200</xdr:colOff>
      <xdr:row>7</xdr:row>
      <xdr:rowOff>152399</xdr:rowOff>
    </xdr:from>
    <xdr:to>
      <xdr:col>8</xdr:col>
      <xdr:colOff>387350</xdr:colOff>
      <xdr:row>50</xdr:row>
      <xdr:rowOff>28574</xdr:rowOff>
    </xdr:to>
    <xdr:sp macro="" textlink="">
      <xdr:nvSpPr>
        <xdr:cNvPr id="6" name="Textfeld 5">
          <a:extLst>
            <a:ext uri="{FF2B5EF4-FFF2-40B4-BE49-F238E27FC236}">
              <a16:creationId xmlns:a16="http://schemas.microsoft.com/office/drawing/2014/main" id="{B1B61C24-1CB1-4413-8647-5F59827DBBC4}"/>
            </a:ext>
          </a:extLst>
        </xdr:cNvPr>
        <xdr:cNvSpPr txBox="1"/>
      </xdr:nvSpPr>
      <xdr:spPr>
        <a:xfrm>
          <a:off x="5629275" y="1904999"/>
          <a:ext cx="1606550" cy="6429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algn="ctr">
            <a:lnSpc>
              <a:spcPct val="109000"/>
            </a:lnSpc>
            <a:spcAft>
              <a:spcPts val="630"/>
            </a:spcAft>
          </a:pPr>
          <a:r>
            <a:rPr lang="de-DE" sz="1000">
              <a:solidFill>
                <a:sysClr val="windowText" lastClr="000000"/>
              </a:solidFill>
              <a:latin typeface="Arial" panose="020B0604020202020204" pitchFamily="34" charset="0"/>
              <a:cs typeface="Arial" panose="020B0604020202020204" pitchFamily="34" charset="0"/>
            </a:rPr>
            <a:t>2024</a:t>
          </a:r>
          <a:r>
            <a:rPr lang="de-DE" sz="1000">
              <a:solidFill>
                <a:srgbClr val="FF0000"/>
              </a:solidFill>
              <a:latin typeface="Arial" panose="020B0604020202020204" pitchFamily="34" charset="0"/>
              <a:cs typeface="Arial" panose="020B0604020202020204" pitchFamily="34" charset="0"/>
            </a:rPr>
            <a:t> </a:t>
          </a:r>
        </a:p>
        <a:p>
          <a:pPr lvl="0" algn="ctr">
            <a:lnSpc>
              <a:spcPct val="109000"/>
            </a:lnSpc>
            <a:spcAft>
              <a:spcPts val="630"/>
            </a:spcAft>
          </a:pPr>
          <a:r>
            <a:rPr lang="de-DE" sz="1000">
              <a:latin typeface="Arial" panose="020B0604020202020204" pitchFamily="34" charset="0"/>
              <a:cs typeface="Arial" panose="020B0604020202020204" pitchFamily="34" charset="0"/>
            </a:rPr>
            <a:t>2023</a:t>
          </a:r>
          <a:r>
            <a:rPr lang="de-DE" sz="1000" baseline="30000">
              <a:latin typeface="Arial" panose="020B0604020202020204" pitchFamily="34" charset="0"/>
              <a:cs typeface="Arial" panose="020B0604020202020204" pitchFamily="34" charset="0"/>
            </a:rPr>
            <a:t>a</a:t>
          </a:r>
        </a:p>
        <a:p>
          <a:pPr lvl="0" algn="ctr">
            <a:lnSpc>
              <a:spcPct val="109000"/>
            </a:lnSpc>
            <a:spcAft>
              <a:spcPts val="630"/>
            </a:spcAft>
          </a:pPr>
          <a:r>
            <a:rPr lang="de-DE" sz="1000">
              <a:latin typeface="Arial" panose="020B0604020202020204" pitchFamily="34" charset="0"/>
              <a:cs typeface="Arial" panose="020B0604020202020204" pitchFamily="34" charset="0"/>
            </a:rPr>
            <a:t>2022</a:t>
          </a:r>
        </a:p>
        <a:p>
          <a:pPr lvl="0" algn="ctr">
            <a:lnSpc>
              <a:spcPct val="109000"/>
            </a:lnSpc>
            <a:spcAft>
              <a:spcPts val="630"/>
            </a:spcAft>
          </a:pPr>
          <a:r>
            <a:rPr lang="de-DE" sz="1000">
              <a:latin typeface="Arial" panose="020B0604020202020204" pitchFamily="34" charset="0"/>
              <a:cs typeface="Arial" panose="020B0604020202020204" pitchFamily="34" charset="0"/>
            </a:rPr>
            <a:t>2021</a:t>
          </a:r>
        </a:p>
        <a:p>
          <a:pPr lvl="0" algn="ctr">
            <a:lnSpc>
              <a:spcPct val="109000"/>
            </a:lnSpc>
            <a:spcAft>
              <a:spcPts val="630"/>
            </a:spcAft>
          </a:pPr>
          <a:r>
            <a:rPr lang="de-DE" sz="1000">
              <a:latin typeface="Arial" panose="020B0604020202020204" pitchFamily="34" charset="0"/>
              <a:cs typeface="Arial" panose="020B0604020202020204" pitchFamily="34" charset="0"/>
            </a:rPr>
            <a:t>2020</a:t>
          </a:r>
        </a:p>
        <a:p>
          <a:pPr lvl="0" algn="ctr">
            <a:lnSpc>
              <a:spcPct val="109000"/>
            </a:lnSpc>
            <a:spcAft>
              <a:spcPts val="630"/>
            </a:spcAft>
          </a:pPr>
          <a:r>
            <a:rPr lang="de-DE" sz="1000">
              <a:latin typeface="Arial" panose="020B0604020202020204" pitchFamily="34" charset="0"/>
              <a:cs typeface="Arial" panose="020B0604020202020204" pitchFamily="34" charset="0"/>
            </a:rPr>
            <a:t>2019</a:t>
          </a:r>
        </a:p>
        <a:p>
          <a:pPr marL="0" lvl="0" indent="0" algn="ctr">
            <a:lnSpc>
              <a:spcPct val="109000"/>
            </a:lnSpc>
            <a:spcAft>
              <a:spcPts val="630"/>
            </a:spcAft>
          </a:pPr>
          <a:r>
            <a:rPr lang="de-DE" sz="1000">
              <a:solidFill>
                <a:schemeClr val="dk1"/>
              </a:solidFill>
              <a:latin typeface="Arial" panose="020B0604020202020204" pitchFamily="34" charset="0"/>
              <a:ea typeface="+mn-ea"/>
              <a:cs typeface="Arial" panose="020B0604020202020204" pitchFamily="34" charset="0"/>
            </a:rPr>
            <a:t>2018</a:t>
          </a:r>
        </a:p>
        <a:p>
          <a:pPr lvl="0" algn="ctr">
            <a:lnSpc>
              <a:spcPct val="109000"/>
            </a:lnSpc>
            <a:spcAft>
              <a:spcPts val="630"/>
            </a:spcAft>
          </a:pPr>
          <a:r>
            <a:rPr lang="de-DE" sz="1000">
              <a:solidFill>
                <a:schemeClr val="dk1"/>
              </a:solidFill>
              <a:effectLst/>
              <a:latin typeface="Arial" panose="020B0604020202020204" pitchFamily="34" charset="0"/>
              <a:ea typeface="+mn-ea"/>
              <a:cs typeface="Arial" panose="020B0604020202020204" pitchFamily="34" charset="0"/>
            </a:rPr>
            <a:t>2017</a:t>
          </a:r>
        </a:p>
        <a:p>
          <a:pPr lvl="0" algn="ctr">
            <a:lnSpc>
              <a:spcPct val="109000"/>
            </a:lnSpc>
            <a:spcAft>
              <a:spcPts val="630"/>
            </a:spcAft>
          </a:pPr>
          <a:r>
            <a:rPr lang="de-DE" sz="1000">
              <a:solidFill>
                <a:schemeClr val="dk1"/>
              </a:solidFill>
              <a:effectLst/>
              <a:latin typeface="Arial" panose="020B0604020202020204" pitchFamily="34" charset="0"/>
              <a:ea typeface="+mn-ea"/>
              <a:cs typeface="Arial" panose="020B0604020202020204" pitchFamily="34" charset="0"/>
            </a:rPr>
            <a:t>2016</a:t>
          </a:r>
        </a:p>
        <a:p>
          <a:pPr lvl="0" algn="ctr">
            <a:lnSpc>
              <a:spcPct val="109000"/>
            </a:lnSpc>
            <a:spcAft>
              <a:spcPts val="630"/>
            </a:spcAft>
          </a:pPr>
          <a:r>
            <a:rPr lang="de-DE" sz="1000">
              <a:solidFill>
                <a:schemeClr val="dk1"/>
              </a:solidFill>
              <a:effectLst/>
              <a:latin typeface="Arial" panose="020B0604020202020204" pitchFamily="34" charset="0"/>
              <a:ea typeface="+mn-ea"/>
              <a:cs typeface="Arial" panose="020B0604020202020204" pitchFamily="34" charset="0"/>
            </a:rPr>
            <a:t>2015</a:t>
          </a:r>
        </a:p>
        <a:p>
          <a:pPr lvl="0" algn="ctr">
            <a:lnSpc>
              <a:spcPct val="109000"/>
            </a:lnSpc>
            <a:spcAft>
              <a:spcPts val="630"/>
            </a:spcAft>
          </a:pPr>
          <a:r>
            <a:rPr lang="de-DE" sz="1000">
              <a:solidFill>
                <a:schemeClr val="dk1"/>
              </a:solidFill>
              <a:effectLst/>
              <a:latin typeface="Arial" panose="020B0604020202020204" pitchFamily="34" charset="0"/>
              <a:ea typeface="+mn-ea"/>
              <a:cs typeface="Arial" panose="020B0604020202020204" pitchFamily="34" charset="0"/>
            </a:rPr>
            <a:t>2014</a:t>
          </a:r>
          <a:endParaRPr lang="de-DE" sz="1000">
            <a:effectLst/>
            <a:latin typeface="Arial" panose="020B0604020202020204" pitchFamily="34" charset="0"/>
            <a:cs typeface="Arial" panose="020B0604020202020204" pitchFamily="34" charset="0"/>
          </a:endParaRPr>
        </a:p>
        <a:p>
          <a:pPr lvl="0" algn="ctr">
            <a:lnSpc>
              <a:spcPct val="109000"/>
            </a:lnSpc>
            <a:spcAft>
              <a:spcPts val="630"/>
            </a:spcAft>
          </a:pPr>
          <a:r>
            <a:rPr lang="de-DE" sz="1000">
              <a:solidFill>
                <a:schemeClr val="dk1"/>
              </a:solidFill>
              <a:effectLst/>
              <a:latin typeface="Arial" panose="020B0604020202020204" pitchFamily="34" charset="0"/>
              <a:ea typeface="+mn-ea"/>
              <a:cs typeface="Arial" panose="020B0604020202020204" pitchFamily="34" charset="0"/>
            </a:rPr>
            <a:t>2013</a:t>
          </a:r>
          <a:endParaRPr lang="de-DE" sz="1000">
            <a:effectLst/>
            <a:latin typeface="Arial" panose="020B0604020202020204" pitchFamily="34" charset="0"/>
            <a:cs typeface="Arial" panose="020B0604020202020204" pitchFamily="34" charset="0"/>
          </a:endParaRPr>
        </a:p>
        <a:p>
          <a:pPr lvl="0" algn="ctr">
            <a:lnSpc>
              <a:spcPct val="109000"/>
            </a:lnSpc>
            <a:spcAft>
              <a:spcPts val="630"/>
            </a:spcAft>
          </a:pPr>
          <a:r>
            <a:rPr lang="de-DE" sz="1000">
              <a:solidFill>
                <a:schemeClr val="dk1"/>
              </a:solidFill>
              <a:effectLst/>
              <a:latin typeface="Arial" panose="020B0604020202020204" pitchFamily="34" charset="0"/>
              <a:ea typeface="+mn-ea"/>
              <a:cs typeface="Arial" panose="020B0604020202020204" pitchFamily="34" charset="0"/>
            </a:rPr>
            <a:t>2012</a:t>
          </a:r>
          <a:endParaRPr lang="de-DE" sz="1000">
            <a:effectLst/>
            <a:latin typeface="Arial" panose="020B0604020202020204" pitchFamily="34" charset="0"/>
            <a:cs typeface="Arial" panose="020B0604020202020204" pitchFamily="34" charset="0"/>
          </a:endParaRPr>
        </a:p>
        <a:p>
          <a:pPr lvl="0" algn="ctr">
            <a:lnSpc>
              <a:spcPct val="109000"/>
            </a:lnSpc>
            <a:spcAft>
              <a:spcPts val="630"/>
            </a:spcAft>
          </a:pPr>
          <a:r>
            <a:rPr lang="de-DE" sz="1000">
              <a:solidFill>
                <a:schemeClr val="dk1"/>
              </a:solidFill>
              <a:effectLst/>
              <a:latin typeface="Arial" panose="020B0604020202020204" pitchFamily="34" charset="0"/>
              <a:ea typeface="+mn-ea"/>
              <a:cs typeface="Arial" panose="020B0604020202020204" pitchFamily="34" charset="0"/>
            </a:rPr>
            <a:t>2011</a:t>
          </a:r>
          <a:endParaRPr lang="de-DE" sz="1000">
            <a:effectLst/>
            <a:latin typeface="Arial" panose="020B0604020202020204" pitchFamily="34" charset="0"/>
            <a:cs typeface="Arial" panose="020B0604020202020204" pitchFamily="34" charset="0"/>
          </a:endParaRPr>
        </a:p>
        <a:p>
          <a:pPr lvl="0" algn="ctr">
            <a:lnSpc>
              <a:spcPct val="109000"/>
            </a:lnSpc>
            <a:spcAft>
              <a:spcPts val="630"/>
            </a:spcAft>
          </a:pPr>
          <a:r>
            <a:rPr lang="de-DE" sz="1000">
              <a:solidFill>
                <a:schemeClr val="dk1"/>
              </a:solidFill>
              <a:effectLst/>
              <a:latin typeface="Arial" panose="020B0604020202020204" pitchFamily="34" charset="0"/>
              <a:ea typeface="+mn-ea"/>
              <a:cs typeface="Arial" panose="020B0604020202020204" pitchFamily="34" charset="0"/>
            </a:rPr>
            <a:t>2010</a:t>
          </a:r>
          <a:endParaRPr lang="de-DE" sz="1000">
            <a:effectLst/>
            <a:latin typeface="Arial" panose="020B0604020202020204" pitchFamily="34" charset="0"/>
            <a:cs typeface="Arial" panose="020B0604020202020204" pitchFamily="34" charset="0"/>
          </a:endParaRPr>
        </a:p>
        <a:p>
          <a:pPr lvl="0" algn="ctr">
            <a:lnSpc>
              <a:spcPct val="109000"/>
            </a:lnSpc>
            <a:spcAft>
              <a:spcPts val="630"/>
            </a:spcAft>
          </a:pPr>
          <a:r>
            <a:rPr lang="de-DE" sz="1000">
              <a:solidFill>
                <a:schemeClr val="dk1"/>
              </a:solidFill>
              <a:effectLst/>
              <a:latin typeface="Arial" panose="020B0604020202020204" pitchFamily="34" charset="0"/>
              <a:ea typeface="+mn-ea"/>
              <a:cs typeface="Arial" panose="020B0604020202020204" pitchFamily="34" charset="0"/>
            </a:rPr>
            <a:t>2009</a:t>
          </a:r>
        </a:p>
        <a:p>
          <a:pPr lvl="0" algn="ctr">
            <a:lnSpc>
              <a:spcPct val="109000"/>
            </a:lnSpc>
            <a:spcAft>
              <a:spcPts val="630"/>
            </a:spcAft>
          </a:pPr>
          <a:r>
            <a:rPr lang="de-DE" sz="1000">
              <a:solidFill>
                <a:schemeClr val="dk1"/>
              </a:solidFill>
              <a:effectLst/>
              <a:latin typeface="Arial" panose="020B0604020202020204" pitchFamily="34" charset="0"/>
              <a:ea typeface="+mn-ea"/>
              <a:cs typeface="Arial" panose="020B0604020202020204" pitchFamily="34" charset="0"/>
            </a:rPr>
            <a:t>2008</a:t>
          </a:r>
        </a:p>
        <a:p>
          <a:pPr lvl="0" algn="ctr">
            <a:lnSpc>
              <a:spcPct val="109000"/>
            </a:lnSpc>
            <a:spcAft>
              <a:spcPts val="630"/>
            </a:spcAft>
          </a:pPr>
          <a:r>
            <a:rPr lang="de-DE" sz="1000">
              <a:solidFill>
                <a:schemeClr val="dk1"/>
              </a:solidFill>
              <a:effectLst/>
              <a:latin typeface="Arial" panose="020B0604020202020204" pitchFamily="34" charset="0"/>
              <a:ea typeface="+mn-ea"/>
              <a:cs typeface="Arial" panose="020B0604020202020204" pitchFamily="34" charset="0"/>
            </a:rPr>
            <a:t>2007</a:t>
          </a:r>
        </a:p>
        <a:p>
          <a:pPr lvl="0" algn="ctr">
            <a:lnSpc>
              <a:spcPct val="109000"/>
            </a:lnSpc>
            <a:spcAft>
              <a:spcPts val="630"/>
            </a:spcAft>
          </a:pPr>
          <a:r>
            <a:rPr lang="de-DE" sz="1000">
              <a:solidFill>
                <a:schemeClr val="dk1"/>
              </a:solidFill>
              <a:effectLst/>
              <a:latin typeface="Arial" panose="020B0604020202020204" pitchFamily="34" charset="0"/>
              <a:ea typeface="+mn-ea"/>
              <a:cs typeface="Arial" panose="020B0604020202020204" pitchFamily="34" charset="0"/>
            </a:rPr>
            <a:t>2006</a:t>
          </a:r>
        </a:p>
        <a:p>
          <a:pPr lvl="0" algn="ctr">
            <a:lnSpc>
              <a:spcPct val="109000"/>
            </a:lnSpc>
            <a:spcAft>
              <a:spcPts val="630"/>
            </a:spcAft>
          </a:pPr>
          <a:r>
            <a:rPr lang="de-DE" sz="1000">
              <a:solidFill>
                <a:schemeClr val="dk1"/>
              </a:solidFill>
              <a:effectLst/>
              <a:latin typeface="Arial" panose="020B0604020202020204" pitchFamily="34" charset="0"/>
              <a:ea typeface="+mn-ea"/>
              <a:cs typeface="Arial" panose="020B0604020202020204" pitchFamily="34" charset="0"/>
            </a:rPr>
            <a:t>2005</a:t>
          </a:r>
        </a:p>
        <a:p>
          <a:pPr lvl="0" algn="ctr">
            <a:lnSpc>
              <a:spcPct val="109000"/>
            </a:lnSpc>
            <a:spcAft>
              <a:spcPts val="630"/>
            </a:spcAft>
          </a:pPr>
          <a:r>
            <a:rPr lang="de-DE" sz="1000">
              <a:solidFill>
                <a:schemeClr val="dk1"/>
              </a:solidFill>
              <a:effectLst/>
              <a:latin typeface="Arial" panose="020B0604020202020204" pitchFamily="34" charset="0"/>
              <a:ea typeface="+mn-ea"/>
              <a:cs typeface="Arial" panose="020B0604020202020204" pitchFamily="34" charset="0"/>
            </a:rPr>
            <a:t>2004</a:t>
          </a:r>
        </a:p>
        <a:p>
          <a:pPr lvl="0" algn="ctr">
            <a:lnSpc>
              <a:spcPct val="109000"/>
            </a:lnSpc>
            <a:spcAft>
              <a:spcPts val="630"/>
            </a:spcAft>
          </a:pPr>
          <a:r>
            <a:rPr lang="de-DE" sz="1000">
              <a:solidFill>
                <a:schemeClr val="dk1"/>
              </a:solidFill>
              <a:effectLst/>
              <a:latin typeface="Arial" panose="020B0604020202020204" pitchFamily="34" charset="0"/>
              <a:ea typeface="+mn-ea"/>
              <a:cs typeface="Arial" panose="020B0604020202020204" pitchFamily="34" charset="0"/>
            </a:rPr>
            <a:t>2003</a:t>
          </a:r>
        </a:p>
        <a:p>
          <a:pPr lvl="0" algn="ctr">
            <a:lnSpc>
              <a:spcPct val="109000"/>
            </a:lnSpc>
            <a:spcAft>
              <a:spcPts val="630"/>
            </a:spcAft>
          </a:pPr>
          <a:r>
            <a:rPr lang="de-DE" sz="1000">
              <a:solidFill>
                <a:schemeClr val="dk1"/>
              </a:solidFill>
              <a:effectLst/>
              <a:latin typeface="Arial" panose="020B0604020202020204" pitchFamily="34" charset="0"/>
              <a:ea typeface="+mn-ea"/>
              <a:cs typeface="Arial" panose="020B0604020202020204" pitchFamily="34" charset="0"/>
            </a:rPr>
            <a:t>2002</a:t>
          </a:r>
        </a:p>
        <a:p>
          <a:pPr lvl="0" algn="ctr">
            <a:lnSpc>
              <a:spcPct val="109000"/>
            </a:lnSpc>
            <a:spcAft>
              <a:spcPts val="630"/>
            </a:spcAft>
          </a:pPr>
          <a:r>
            <a:rPr lang="de-DE" sz="1000">
              <a:solidFill>
                <a:schemeClr val="dk1"/>
              </a:solidFill>
              <a:effectLst/>
              <a:latin typeface="Arial" panose="020B0604020202020204" pitchFamily="34" charset="0"/>
              <a:ea typeface="+mn-ea"/>
              <a:cs typeface="Arial" panose="020B0604020202020204" pitchFamily="34" charset="0"/>
            </a:rPr>
            <a:t>2001</a:t>
          </a:r>
        </a:p>
        <a:p>
          <a:pPr lvl="0" algn="ctr">
            <a:lnSpc>
              <a:spcPct val="109000"/>
            </a:lnSpc>
            <a:spcAft>
              <a:spcPts val="630"/>
            </a:spcAft>
          </a:pPr>
          <a:r>
            <a:rPr lang="de-DE" sz="1000">
              <a:solidFill>
                <a:schemeClr val="dk1"/>
              </a:solidFill>
              <a:effectLst/>
              <a:latin typeface="Arial" panose="020B0604020202020204" pitchFamily="34" charset="0"/>
              <a:ea typeface="+mn-ea"/>
              <a:cs typeface="Arial" panose="020B0604020202020204" pitchFamily="34" charset="0"/>
            </a:rPr>
            <a:t>2000</a:t>
          </a:r>
        </a:p>
      </xdr:txBody>
    </xdr:sp>
    <xdr:clientData/>
  </xdr:twoCellAnchor>
  <xdr:twoCellAnchor>
    <xdr:from>
      <xdr:col>7</xdr:col>
      <xdr:colOff>160020</xdr:colOff>
      <xdr:row>50</xdr:row>
      <xdr:rowOff>83819</xdr:rowOff>
    </xdr:from>
    <xdr:to>
      <xdr:col>13</xdr:col>
      <xdr:colOff>312419</xdr:colOff>
      <xdr:row>55</xdr:row>
      <xdr:rowOff>121920</xdr:rowOff>
    </xdr:to>
    <xdr:sp macro="" textlink="">
      <xdr:nvSpPr>
        <xdr:cNvPr id="7" name="Textfeld 6">
          <a:extLst>
            <a:ext uri="{FF2B5EF4-FFF2-40B4-BE49-F238E27FC236}">
              <a16:creationId xmlns:a16="http://schemas.microsoft.com/office/drawing/2014/main" id="{C455EC36-800E-473F-A36A-5C1CBEF5F03E}"/>
            </a:ext>
          </a:extLst>
        </xdr:cNvPr>
        <xdr:cNvSpPr txBox="1"/>
      </xdr:nvSpPr>
      <xdr:spPr>
        <a:xfrm>
          <a:off x="5979795" y="8389619"/>
          <a:ext cx="5410199" cy="800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de-DE" sz="800" b="0" i="0" u="none" strike="noStrike" baseline="30000">
              <a:solidFill>
                <a:sysClr val="windowText" lastClr="000000"/>
              </a:solidFill>
              <a:effectLst/>
              <a:latin typeface="Arial" panose="020B0604020202020204" pitchFamily="34" charset="0"/>
              <a:ea typeface="+mn-ea"/>
              <a:cs typeface="Arial" panose="020B0604020202020204" pitchFamily="34" charset="0"/>
            </a:rPr>
            <a:t>3  </a:t>
          </a:r>
          <a:r>
            <a:rPr lang="de-DE" sz="800" b="0" i="0" u="none" strike="noStrike" baseline="0">
              <a:solidFill>
                <a:sysClr val="windowText" lastClr="000000"/>
              </a:solidFill>
              <a:effectLst/>
              <a:latin typeface="Arial Narrow" panose="020B0606020202030204" pitchFamily="34" charset="0"/>
              <a:ea typeface="+mn-ea"/>
              <a:cs typeface="Arial" panose="020B0604020202020204" pitchFamily="34" charset="0"/>
            </a:rPr>
            <a:t>Übernahmen von bestehenden Gewerben (Kauf, Pacht, Erbe, Änderung der Rechtsform, Eintritt Gesellschafter:in)</a:t>
          </a:r>
          <a:r>
            <a:rPr lang="de-DE" sz="800" b="0" i="0" u="none" strike="sngStrike" baseline="0">
              <a:solidFill>
                <a:sysClr val="windowText" lastClr="000000"/>
              </a:solidFill>
              <a:effectLst/>
              <a:latin typeface="Arial Narrow" panose="020B0606020202030204" pitchFamily="34" charset="0"/>
              <a:ea typeface="+mn-ea"/>
              <a:cs typeface="Arial" panose="020B0604020202020204" pitchFamily="34" charset="0"/>
            </a:rPr>
            <a:t>.</a:t>
          </a:r>
          <a:r>
            <a:rPr lang="de-DE" sz="800" b="0" i="0" u="none" strike="noStrike" baseline="0">
              <a:solidFill>
                <a:sysClr val="windowText" lastClr="000000"/>
              </a:solidFill>
              <a:effectLst/>
              <a:latin typeface="Arial Narrow" panose="020B0606020202030204" pitchFamily="34" charset="0"/>
              <a:ea typeface="+mn-ea"/>
              <a:cs typeface="Arial" panose="020B0604020202020204" pitchFamily="34" charset="0"/>
            </a:rPr>
            <a:t> </a:t>
          </a:r>
          <a:br>
            <a:rPr lang="de-DE" sz="800" b="0" i="0" u="none" strike="noStrike" baseline="30000">
              <a:solidFill>
                <a:sysClr val="windowText" lastClr="000000"/>
              </a:solidFill>
              <a:effectLst/>
              <a:latin typeface="Arial Narrow" panose="020B0606020202030204" pitchFamily="34" charset="0"/>
              <a:ea typeface="+mn-ea"/>
              <a:cs typeface="Arial" panose="020B0604020202020204" pitchFamily="34" charset="0"/>
            </a:rPr>
          </a:br>
          <a:r>
            <a:rPr lang="de-DE" sz="800" b="0" i="0" u="none" strike="noStrike" baseline="30000">
              <a:solidFill>
                <a:sysClr val="windowText" lastClr="000000"/>
              </a:solidFill>
              <a:effectLst/>
              <a:latin typeface="Arial" panose="020B0604020202020204" pitchFamily="34" charset="0"/>
              <a:ea typeface="+mn-ea"/>
              <a:cs typeface="Arial" panose="020B0604020202020204" pitchFamily="34" charset="0"/>
            </a:rPr>
            <a:t>4  </a:t>
          </a:r>
          <a:r>
            <a:rPr lang="de-DE" sz="800" b="0" i="0" u="none" strike="noStrike" baseline="0">
              <a:solidFill>
                <a:sysClr val="windowText" lastClr="000000"/>
              </a:solidFill>
              <a:effectLst/>
              <a:latin typeface="Arial Narrow" panose="020B0606020202030204" pitchFamily="34" charset="0"/>
              <a:ea typeface="+mn-ea"/>
              <a:cs typeface="Arial" panose="020B0604020202020204" pitchFamily="34" charset="0"/>
            </a:rPr>
            <a:t>Übergaben von bestehenden Gewerben (Verkauf, Verpachtung, Erbfolge, Änderung der Rechtsform, Austritt Gesellschafter:in) </a:t>
          </a:r>
        </a:p>
        <a:p>
          <a:pPr marL="0" marR="0" lvl="0" indent="0" defTabSz="914400" eaLnBrk="1" fontAlgn="auto" latinLnBrk="0" hangingPunct="1">
            <a:lnSpc>
              <a:spcPct val="100000"/>
            </a:lnSpc>
            <a:spcBef>
              <a:spcPts val="0"/>
            </a:spcBef>
            <a:spcAft>
              <a:spcPts val="0"/>
            </a:spcAft>
            <a:buClrTx/>
            <a:buSzTx/>
            <a:buFontTx/>
            <a:buNone/>
            <a:tabLst/>
            <a:defRPr/>
          </a:pPr>
          <a:r>
            <a:rPr lang="de-DE" sz="800" b="0" i="0" u="none" strike="noStrike" baseline="30000">
              <a:solidFill>
                <a:sysClr val="windowText" lastClr="000000"/>
              </a:solidFill>
              <a:effectLst/>
              <a:latin typeface="Arial Narrow" panose="020B0606020202030204" pitchFamily="34" charset="0"/>
              <a:ea typeface="+mn-ea"/>
              <a:cs typeface="Arial" panose="020B0604020202020204" pitchFamily="34" charset="0"/>
            </a:rPr>
            <a:t>a</a:t>
          </a:r>
          <a:r>
            <a:rPr lang="de-DE" sz="800" b="0" i="0" u="none" strike="noStrike" baseline="0">
              <a:solidFill>
                <a:sysClr val="windowText" lastClr="000000"/>
              </a:solidFill>
              <a:effectLst/>
              <a:latin typeface="Arial Narrow" panose="020B0606020202030204" pitchFamily="34" charset="0"/>
              <a:ea typeface="+mn-ea"/>
              <a:cs typeface="Arial" panose="020B0604020202020204" pitchFamily="34" charset="0"/>
            </a:rPr>
            <a:t>  Leichte Untererfassung der Gewerbean- und -abmeldungen aufgrund Softwareumstellung in den Gewerbeämtern im 4. Quartal 2023</a:t>
          </a:r>
        </a:p>
        <a:p>
          <a:endParaRPr lang="de-DE" sz="1100">
            <a:solidFill>
              <a:sysClr val="windowText" lastClr="000000"/>
            </a:solidFill>
          </a:endParaRPr>
        </a:p>
      </xdr:txBody>
    </xdr:sp>
    <xdr:clientData/>
  </xdr:twoCellAnchor>
</xdr:wsDr>
</file>

<file path=xl/drawings/drawing11.xml><?xml version="1.0" encoding="utf-8"?>
<c:userShapes xmlns:c="http://schemas.openxmlformats.org/drawingml/2006/chart">
  <cdr:relSizeAnchor xmlns:cdr="http://schemas.openxmlformats.org/drawingml/2006/chartDrawing">
    <cdr:from>
      <cdr:x>0.04762</cdr:x>
      <cdr:y>0.92408</cdr:y>
    </cdr:from>
    <cdr:to>
      <cdr:x>0.92749</cdr:x>
      <cdr:y>0.97346</cdr:y>
    </cdr:to>
    <cdr:sp macro="" textlink="">
      <cdr:nvSpPr>
        <cdr:cNvPr id="5" name="Textfeld 4"/>
        <cdr:cNvSpPr txBox="1"/>
      </cdr:nvSpPr>
      <cdr:spPr>
        <a:xfrm xmlns:a="http://schemas.openxmlformats.org/drawingml/2006/main">
          <a:off x="419100" y="3743325"/>
          <a:ext cx="7743825"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de-DE" sz="1100"/>
        </a:p>
      </cdr:txBody>
    </cdr:sp>
  </cdr:relSizeAnchor>
</c:userShapes>
</file>

<file path=xl/drawings/drawing12.xml><?xml version="1.0" encoding="utf-8"?>
<c:userShapes xmlns:c="http://schemas.openxmlformats.org/drawingml/2006/chart">
  <cdr:relSizeAnchor xmlns:cdr="http://schemas.openxmlformats.org/drawingml/2006/chartDrawing">
    <cdr:from>
      <cdr:x>0.05195</cdr:x>
      <cdr:y>0.93114</cdr:y>
    </cdr:from>
    <cdr:to>
      <cdr:x>0.87121</cdr:x>
      <cdr:y>0.97111</cdr:y>
    </cdr:to>
    <cdr:sp macro="" textlink="">
      <cdr:nvSpPr>
        <cdr:cNvPr id="4" name="Textfeld 3"/>
        <cdr:cNvSpPr txBox="1"/>
      </cdr:nvSpPr>
      <cdr:spPr>
        <a:xfrm xmlns:a="http://schemas.openxmlformats.org/drawingml/2006/main">
          <a:off x="457200" y="3771900"/>
          <a:ext cx="7210425" cy="1619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de-DE" sz="1100"/>
        </a:p>
      </cdr:txBody>
    </cdr:sp>
  </cdr:relSizeAnchor>
  <cdr:relSizeAnchor xmlns:cdr="http://schemas.openxmlformats.org/drawingml/2006/chartDrawing">
    <cdr:from>
      <cdr:x>0.04762</cdr:x>
      <cdr:y>0.92408</cdr:y>
    </cdr:from>
    <cdr:to>
      <cdr:x>0.92749</cdr:x>
      <cdr:y>0.97346</cdr:y>
    </cdr:to>
    <cdr:sp macro="" textlink="">
      <cdr:nvSpPr>
        <cdr:cNvPr id="5" name="Textfeld 4"/>
        <cdr:cNvSpPr txBox="1"/>
      </cdr:nvSpPr>
      <cdr:spPr>
        <a:xfrm xmlns:a="http://schemas.openxmlformats.org/drawingml/2006/main">
          <a:off x="419100" y="3743325"/>
          <a:ext cx="7743825"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de-DE" sz="1100"/>
        </a:p>
      </cdr:txBody>
    </cdr:sp>
  </cdr:relSizeAnchor>
  <cdr:relSizeAnchor xmlns:cdr="http://schemas.openxmlformats.org/drawingml/2006/chartDrawing">
    <cdr:from>
      <cdr:x>0.05195</cdr:x>
      <cdr:y>0.93114</cdr:y>
    </cdr:from>
    <cdr:to>
      <cdr:x>0.87121</cdr:x>
      <cdr:y>0.97111</cdr:y>
    </cdr:to>
    <cdr:sp macro="" textlink="">
      <cdr:nvSpPr>
        <cdr:cNvPr id="2" name="Textfeld 3"/>
        <cdr:cNvSpPr txBox="1"/>
      </cdr:nvSpPr>
      <cdr:spPr>
        <a:xfrm xmlns:a="http://schemas.openxmlformats.org/drawingml/2006/main">
          <a:off x="457200" y="3771900"/>
          <a:ext cx="7210425" cy="1619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de-DE" sz="1100"/>
        </a:p>
      </cdr:txBody>
    </cdr:sp>
  </cdr:relSizeAnchor>
  <cdr:relSizeAnchor xmlns:cdr="http://schemas.openxmlformats.org/drawingml/2006/chartDrawing">
    <cdr:from>
      <cdr:x>0.04762</cdr:x>
      <cdr:y>0.92408</cdr:y>
    </cdr:from>
    <cdr:to>
      <cdr:x>0.92749</cdr:x>
      <cdr:y>0.97346</cdr:y>
    </cdr:to>
    <cdr:sp macro="" textlink="">
      <cdr:nvSpPr>
        <cdr:cNvPr id="3" name="Textfeld 4"/>
        <cdr:cNvSpPr txBox="1"/>
      </cdr:nvSpPr>
      <cdr:spPr>
        <a:xfrm xmlns:a="http://schemas.openxmlformats.org/drawingml/2006/main">
          <a:off x="419100" y="3743325"/>
          <a:ext cx="7743825" cy="2000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de-DE" sz="1100"/>
        </a:p>
      </cdr:txBody>
    </cdr:sp>
  </cdr:relSizeAnchor>
</c:userShapes>
</file>

<file path=xl/drawings/drawing13.xml><?xml version="1.0" encoding="utf-8"?>
<xdr:wsDr xmlns:xdr="http://schemas.openxmlformats.org/drawingml/2006/spreadsheetDrawing" xmlns:a="http://schemas.openxmlformats.org/drawingml/2006/main">
  <xdr:twoCellAnchor>
    <xdr:from>
      <xdr:col>3</xdr:col>
      <xdr:colOff>0</xdr:colOff>
      <xdr:row>6</xdr:row>
      <xdr:rowOff>0</xdr:rowOff>
    </xdr:from>
    <xdr:to>
      <xdr:col>6</xdr:col>
      <xdr:colOff>251100</xdr:colOff>
      <xdr:row>34</xdr:row>
      <xdr:rowOff>43275</xdr:rowOff>
    </xdr:to>
    <xdr:graphicFrame macro="">
      <xdr:nvGraphicFramePr>
        <xdr:cNvPr id="2" name="Diagramm 1">
          <a:extLst>
            <a:ext uri="{FF2B5EF4-FFF2-40B4-BE49-F238E27FC236}">
              <a16:creationId xmlns:a16="http://schemas.microsoft.com/office/drawing/2014/main" id="{129E4AF0-F822-41CC-9235-BFA3DC251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c:userShapes xmlns:c="http://schemas.openxmlformats.org/drawingml/2006/chart">
  <cdr:relSizeAnchor xmlns:cdr="http://schemas.openxmlformats.org/drawingml/2006/chartDrawing">
    <cdr:from>
      <cdr:x>0.35508</cdr:x>
      <cdr:y>0.72336</cdr:y>
    </cdr:from>
    <cdr:to>
      <cdr:x>0.64922</cdr:x>
      <cdr:y>0.76781</cdr:y>
    </cdr:to>
    <cdr:sp macro="" textlink="">
      <cdr:nvSpPr>
        <cdr:cNvPr id="3" name="Textfeld 1"/>
        <cdr:cNvSpPr txBox="1"/>
      </cdr:nvSpPr>
      <cdr:spPr>
        <a:xfrm xmlns:a="http://schemas.openxmlformats.org/drawingml/2006/main">
          <a:off x="2556576" y="3124902"/>
          <a:ext cx="2117808" cy="192024"/>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square" lIns="36000" tIns="36000" rIns="36000" bIns="36000" rtlCol="0" anchor="ctr" anchorCtr="0">
          <a:spAutoFit/>
        </a:bodyPr>
        <a:lstStyle xmlns:a="http://schemas.openxmlformats.org/drawingml/2006/main"/>
        <a:p xmlns:a="http://schemas.openxmlformats.org/drawingml/2006/main">
          <a:pPr algn="ctr"/>
          <a:r>
            <a:rPr lang="de-DE" sz="900">
              <a:solidFill>
                <a:schemeClr val="tx1"/>
              </a:solidFill>
              <a:latin typeface="Arial" panose="020B0604020202020204" pitchFamily="34" charset="0"/>
              <a:cs typeface="Arial" panose="020B0604020202020204" pitchFamily="34" charset="0"/>
            </a:rPr>
            <a:t>darunter von Verbraucher:innen</a:t>
          </a:r>
        </a:p>
      </cdr:txBody>
    </cdr:sp>
  </cdr:relSizeAnchor>
  <cdr:relSizeAnchor xmlns:cdr="http://schemas.openxmlformats.org/drawingml/2006/chartDrawing">
    <cdr:from>
      <cdr:x>0.05821</cdr:x>
      <cdr:y>0.93486</cdr:y>
    </cdr:from>
    <cdr:to>
      <cdr:x>0.70644</cdr:x>
      <cdr:y>0.97455</cdr:y>
    </cdr:to>
    <cdr:sp macro="" textlink="">
      <cdr:nvSpPr>
        <cdr:cNvPr id="2" name="Textfeld 1">
          <a:extLst xmlns:a="http://schemas.openxmlformats.org/drawingml/2006/main">
            <a:ext uri="{FF2B5EF4-FFF2-40B4-BE49-F238E27FC236}">
              <a16:creationId xmlns:a16="http://schemas.microsoft.com/office/drawing/2014/main" id="{5F3F8E81-06F6-47DE-A53E-6A3E5A8D5C5E}"/>
            </a:ext>
          </a:extLst>
        </cdr:cNvPr>
        <cdr:cNvSpPr txBox="1"/>
      </cdr:nvSpPr>
      <cdr:spPr>
        <a:xfrm xmlns:a="http://schemas.openxmlformats.org/drawingml/2006/main">
          <a:off x="419100" y="4038600"/>
          <a:ext cx="4667250" cy="171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de-DE" sz="800">
              <a:latin typeface="Arial" panose="020B0604020202020204" pitchFamily="34" charset="0"/>
              <a:cs typeface="Arial" panose="020B0604020202020204" pitchFamily="34" charset="0"/>
            </a:rPr>
            <a:t>Quelle:</a:t>
          </a:r>
          <a:r>
            <a:rPr lang="de-DE" sz="800" baseline="0">
              <a:latin typeface="Arial" panose="020B0604020202020204" pitchFamily="34" charset="0"/>
              <a:cs typeface="Arial" panose="020B0604020202020204" pitchFamily="34" charset="0"/>
            </a:rPr>
            <a:t> Statistik über beantragte Insolvenzverfahren</a:t>
          </a:r>
          <a:endParaRPr lang="de-DE" sz="800">
            <a:latin typeface="Arial" panose="020B0604020202020204" pitchFamily="34" charset="0"/>
            <a:cs typeface="Arial" panose="020B0604020202020204" pitchFamily="34" charset="0"/>
          </a:endParaRPr>
        </a:p>
      </cdr:txBody>
    </cdr:sp>
  </cdr:relSizeAnchor>
</c:userShapes>
</file>

<file path=xl/theme/theme1.xml><?xml version="1.0" encoding="utf-8"?>
<a:theme xmlns:a="http://schemas.openxmlformats.org/drawingml/2006/main" name="Office">
  <a:themeElements>
    <a:clrScheme name="layout jahrbuch grafik">
      <a:dk1>
        <a:sysClr val="windowText" lastClr="000000"/>
      </a:dk1>
      <a:lt1>
        <a:sysClr val="window" lastClr="FFFFFF"/>
      </a:lt1>
      <a:dk2>
        <a:srgbClr val="1F497D"/>
      </a:dk2>
      <a:lt2>
        <a:srgbClr val="EEECE1"/>
      </a:lt2>
      <a:accent1>
        <a:srgbClr val="008F9E"/>
      </a:accent1>
      <a:accent2>
        <a:srgbClr val="9381A1"/>
      </a:accent2>
      <a:accent3>
        <a:srgbClr val="639089"/>
      </a:accent3>
      <a:accent4>
        <a:srgbClr val="D19B97"/>
      </a:accent4>
      <a:accent5>
        <a:srgbClr val="77C8D2"/>
      </a:accent5>
      <a:accent6>
        <a:srgbClr val="E6B287"/>
      </a:accent6>
      <a:hlink>
        <a:srgbClr val="71CBF4"/>
      </a:hlink>
      <a:folHlink>
        <a:srgbClr val="77C8D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statistik-nord.de/fileadmin/Dokumente/Erhebungen/EU-Unternehmensbegriff-Unterlagen/2020-12-14-Uebersicht_Einheitendefinitionen_Statistische_Unternehmen.pdf" TargetMode="External"/><Relationship Id="rId1" Type="http://schemas.openxmlformats.org/officeDocument/2006/relationships/hyperlink" Target="https://www.statistik-nord.de/zahlen-fakten/unternehmen/unternehmensbegriff"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1DB66-99FA-4539-A679-5EAF9F8F4463}">
  <sheetPr codeName="Tabelle2"/>
  <dimension ref="A1:K69"/>
  <sheetViews>
    <sheetView showGridLines="0" tabSelected="1" zoomScaleNormal="100" workbookViewId="0"/>
  </sheetViews>
  <sheetFormatPr baseColWidth="10" defaultColWidth="11.375" defaultRowHeight="11.4" x14ac:dyDescent="0.2"/>
  <cols>
    <col min="1" max="1" width="2.75" style="1" customWidth="1"/>
    <col min="2" max="2" width="6.125" style="1" customWidth="1"/>
    <col min="3" max="3" width="2.75" style="1" customWidth="1"/>
    <col min="4" max="4" width="57.125" style="1" customWidth="1"/>
    <col min="5" max="8" width="11.375" style="1" customWidth="1"/>
    <col min="9" max="9" width="9.875" style="44" customWidth="1"/>
    <col min="10" max="10" width="11.375" style="44" customWidth="1"/>
    <col min="11" max="11" width="12.875" style="44" customWidth="1"/>
    <col min="12" max="16384" width="11.375" style="1"/>
  </cols>
  <sheetData>
    <row r="1" spans="1:11" s="4" customFormat="1" ht="13.8" x14ac:dyDescent="0.2">
      <c r="A1" s="2"/>
      <c r="B1" s="3"/>
      <c r="C1" s="2"/>
      <c r="D1" s="2"/>
      <c r="E1" s="2"/>
      <c r="F1" s="2"/>
      <c r="I1" s="8"/>
      <c r="J1" s="8"/>
      <c r="K1" s="8"/>
    </row>
    <row r="2" spans="1:11" s="4" customFormat="1" ht="50.25" customHeight="1" x14ac:dyDescent="0.3">
      <c r="A2" s="5"/>
      <c r="B2" s="8"/>
      <c r="C2" s="66" t="s">
        <v>167</v>
      </c>
      <c r="D2" s="67"/>
      <c r="E2" s="7"/>
      <c r="F2" s="7"/>
      <c r="G2" s="8"/>
      <c r="H2" s="8"/>
      <c r="I2" s="8"/>
      <c r="J2" s="8"/>
      <c r="K2" s="8"/>
    </row>
    <row r="3" spans="1:11" s="8" customFormat="1" ht="20.100000000000001" customHeight="1" x14ac:dyDescent="0.2">
      <c r="A3" s="57"/>
      <c r="B3" s="58"/>
      <c r="C3" s="68"/>
      <c r="D3" s="69"/>
      <c r="E3" s="58"/>
      <c r="F3" s="58"/>
      <c r="G3" s="58"/>
      <c r="H3" s="58"/>
      <c r="I3" s="64"/>
    </row>
    <row r="4" spans="1:11" s="8" customFormat="1" ht="20.100000000000001" customHeight="1" x14ac:dyDescent="0.2">
      <c r="A4" s="5"/>
      <c r="B4" s="59"/>
      <c r="C4" s="70"/>
      <c r="D4" s="71"/>
    </row>
    <row r="5" spans="1:11" x14ac:dyDescent="0.2">
      <c r="A5"/>
      <c r="B5"/>
      <c r="C5" s="72"/>
      <c r="D5" s="73"/>
      <c r="E5"/>
      <c r="G5"/>
    </row>
    <row r="6" spans="1:11" x14ac:dyDescent="0.2">
      <c r="C6" s="73"/>
      <c r="D6" s="73"/>
    </row>
    <row r="7" spans="1:11" ht="35.4" x14ac:dyDescent="0.6">
      <c r="A7"/>
      <c r="B7"/>
      <c r="C7" s="74" t="s">
        <v>67</v>
      </c>
      <c r="D7" s="73"/>
    </row>
    <row r="8" spans="1:11" ht="30" x14ac:dyDescent="0.5">
      <c r="A8" s="60"/>
      <c r="B8"/>
      <c r="C8" s="75" t="s">
        <v>15</v>
      </c>
      <c r="D8" s="73"/>
    </row>
    <row r="9" spans="1:11" ht="14.25" customHeight="1" x14ac:dyDescent="0.25">
      <c r="A9" s="60"/>
      <c r="B9"/>
      <c r="C9" s="73"/>
      <c r="D9" s="73"/>
    </row>
    <row r="10" spans="1:11" ht="14.25" customHeight="1" x14ac:dyDescent="0.25">
      <c r="A10" s="60"/>
      <c r="B10"/>
      <c r="C10" s="76"/>
      <c r="D10" s="73"/>
    </row>
    <row r="11" spans="1:11" ht="14.25" customHeight="1" x14ac:dyDescent="0.2">
      <c r="A11"/>
      <c r="B11"/>
      <c r="C11" s="73"/>
      <c r="D11" s="73"/>
    </row>
    <row r="12" spans="1:11" ht="14.25" customHeight="1" x14ac:dyDescent="0.3">
      <c r="A12"/>
      <c r="B12"/>
      <c r="C12" s="77" t="s">
        <v>219</v>
      </c>
      <c r="D12" s="73"/>
      <c r="E12" s="61"/>
      <c r="F12" s="62"/>
      <c r="G12"/>
    </row>
    <row r="13" spans="1:11" ht="14.25" customHeight="1" x14ac:dyDescent="0.2">
      <c r="A13"/>
      <c r="B13"/>
      <c r="C13" s="73"/>
      <c r="D13" s="72"/>
      <c r="E13"/>
      <c r="F13"/>
      <c r="G13"/>
    </row>
    <row r="14" spans="1:11" ht="16.5" customHeight="1" x14ac:dyDescent="0.2">
      <c r="A14"/>
      <c r="B14"/>
      <c r="C14" s="78" t="s">
        <v>69</v>
      </c>
      <c r="D14" s="72"/>
      <c r="E14"/>
      <c r="F14"/>
      <c r="G14"/>
    </row>
    <row r="15" spans="1:11" ht="16.5" customHeight="1" x14ac:dyDescent="0.2">
      <c r="A15"/>
      <c r="B15"/>
      <c r="C15" s="378" t="s">
        <v>68</v>
      </c>
      <c r="D15" s="378"/>
    </row>
    <row r="16" spans="1:11" ht="16.5" customHeight="1" x14ac:dyDescent="0.2">
      <c r="A16"/>
      <c r="B16"/>
      <c r="C16" s="378"/>
      <c r="D16" s="378"/>
    </row>
    <row r="17" spans="1:7" ht="14.25" customHeight="1" x14ac:dyDescent="0.2">
      <c r="A17"/>
      <c r="B17"/>
      <c r="C17" s="63"/>
      <c r="D17" s="63"/>
    </row>
    <row r="18" spans="1:7" x14ac:dyDescent="0.2">
      <c r="A18"/>
      <c r="B18"/>
      <c r="C18"/>
      <c r="D18"/>
      <c r="E18"/>
      <c r="F18"/>
      <c r="G18"/>
    </row>
    <row r="69" ht="15" customHeight="1" x14ac:dyDescent="0.2"/>
  </sheetData>
  <mergeCells count="1">
    <mergeCell ref="C15:D16"/>
  </mergeCells>
  <pageMargins left="0.59055118110236227" right="0.59055118110236227" top="0.59055118110236227" bottom="0.59055118110236227" header="0.31496062992125984" footer="0.31496062992125984"/>
  <pageSetup paperSize="9" fitToWidth="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3"/>
  <dimension ref="A1:E32"/>
  <sheetViews>
    <sheetView showGridLines="0" zoomScaleNormal="100" workbookViewId="0">
      <selection activeCell="B15" sqref="B15"/>
    </sheetView>
  </sheetViews>
  <sheetFormatPr baseColWidth="10" defaultColWidth="11.375" defaultRowHeight="11.4" x14ac:dyDescent="0.2"/>
  <cols>
    <col min="1" max="1" width="2.75" style="2" customWidth="1"/>
    <col min="2" max="2" width="18.875" style="17" bestFit="1" customWidth="1"/>
    <col min="3" max="3" width="2.75" style="2" customWidth="1"/>
    <col min="4" max="4" width="102" style="9" customWidth="1"/>
    <col min="5" max="5" width="1.875" style="7" customWidth="1"/>
    <col min="6" max="6" width="13.875" style="2" customWidth="1"/>
    <col min="7" max="16384" width="11.375" style="2"/>
  </cols>
  <sheetData>
    <row r="1" spans="1:5" s="4" customFormat="1" ht="13.8" x14ac:dyDescent="0.2">
      <c r="B1" s="40"/>
      <c r="D1" s="46"/>
      <c r="E1" s="8"/>
    </row>
    <row r="2" spans="1:5" s="95" customFormat="1" ht="20.100000000000001" customHeight="1" x14ac:dyDescent="0.25">
      <c r="A2" s="93"/>
      <c r="B2" s="94" t="s">
        <v>44</v>
      </c>
      <c r="D2" s="96"/>
    </row>
    <row r="3" spans="1:5" s="80" customFormat="1" ht="50.25" customHeight="1" x14ac:dyDescent="0.25">
      <c r="A3" s="65"/>
      <c r="B3" s="79" t="s">
        <v>70</v>
      </c>
      <c r="D3" s="81"/>
    </row>
    <row r="4" spans="1:5" ht="13.8" x14ac:dyDescent="0.2">
      <c r="B4" s="84"/>
    </row>
    <row r="5" spans="1:5" ht="34.200000000000003" x14ac:dyDescent="0.2">
      <c r="B5" s="85" t="s">
        <v>71</v>
      </c>
      <c r="C5" s="9"/>
      <c r="D5" s="10" t="s">
        <v>72</v>
      </c>
    </row>
    <row r="6" spans="1:5" ht="13.8" x14ac:dyDescent="0.2">
      <c r="B6" s="84"/>
    </row>
    <row r="7" spans="1:5" ht="38.25" customHeight="1" x14ac:dyDescent="0.2">
      <c r="B7" s="84" t="s">
        <v>73</v>
      </c>
      <c r="C7" s="11"/>
      <c r="D7" s="12" t="s">
        <v>74</v>
      </c>
    </row>
    <row r="8" spans="1:5" ht="13.8" x14ac:dyDescent="0.2">
      <c r="B8" s="84"/>
    </row>
    <row r="9" spans="1:5" ht="57.75" customHeight="1" x14ac:dyDescent="0.2">
      <c r="B9" s="86"/>
      <c r="C9" s="9"/>
      <c r="D9" s="13" t="s">
        <v>169</v>
      </c>
    </row>
    <row r="10" spans="1:5" ht="13.8" x14ac:dyDescent="0.2">
      <c r="B10" s="84"/>
    </row>
    <row r="11" spans="1:5" ht="27.6" x14ac:dyDescent="0.2">
      <c r="B11" s="87" t="s">
        <v>124</v>
      </c>
      <c r="C11" s="24"/>
      <c r="D11" s="22" t="s">
        <v>125</v>
      </c>
    </row>
    <row r="12" spans="1:5" ht="12" x14ac:dyDescent="0.2">
      <c r="B12" s="88"/>
      <c r="C12" s="24"/>
      <c r="D12" s="26"/>
    </row>
    <row r="13" spans="1:5" ht="13.8" x14ac:dyDescent="0.2">
      <c r="B13" s="89">
        <v>0</v>
      </c>
      <c r="C13" s="14"/>
      <c r="D13" s="13" t="s">
        <v>75</v>
      </c>
    </row>
    <row r="14" spans="1:5" ht="13.8" x14ac:dyDescent="0.2">
      <c r="B14" s="89" t="s">
        <v>35</v>
      </c>
      <c r="C14" s="14"/>
      <c r="D14" s="13" t="s">
        <v>76</v>
      </c>
    </row>
    <row r="15" spans="1:5" ht="13.8" x14ac:dyDescent="0.2">
      <c r="B15" s="89" t="s">
        <v>77</v>
      </c>
      <c r="C15" s="14"/>
      <c r="D15" s="13" t="s">
        <v>78</v>
      </c>
    </row>
    <row r="16" spans="1:5" ht="13.8" x14ac:dyDescent="0.2">
      <c r="B16" s="89" t="s">
        <v>64</v>
      </c>
      <c r="C16" s="14"/>
      <c r="D16" s="13" t="s">
        <v>79</v>
      </c>
    </row>
    <row r="17" spans="2:5" ht="13.8" x14ac:dyDescent="0.2">
      <c r="B17" s="89" t="s">
        <v>37</v>
      </c>
      <c r="C17" s="14"/>
      <c r="D17" s="13" t="s">
        <v>80</v>
      </c>
    </row>
    <row r="18" spans="2:5" ht="13.8" x14ac:dyDescent="0.2">
      <c r="B18" s="89" t="s">
        <v>81</v>
      </c>
      <c r="C18" s="14"/>
      <c r="D18" s="13" t="s">
        <v>82</v>
      </c>
    </row>
    <row r="19" spans="2:5" ht="13.8" x14ac:dyDescent="0.2">
      <c r="B19" s="89" t="s">
        <v>83</v>
      </c>
      <c r="C19" s="14"/>
      <c r="D19" s="13" t="s">
        <v>84</v>
      </c>
    </row>
    <row r="20" spans="2:5" ht="13.8" x14ac:dyDescent="0.2">
      <c r="B20" s="89" t="s">
        <v>85</v>
      </c>
      <c r="C20" s="14"/>
      <c r="D20" s="13" t="s">
        <v>86</v>
      </c>
    </row>
    <row r="21" spans="2:5" ht="13.8" x14ac:dyDescent="0.2">
      <c r="B21" s="89" t="s">
        <v>87</v>
      </c>
      <c r="C21" s="14"/>
      <c r="D21" s="13" t="s">
        <v>88</v>
      </c>
    </row>
    <row r="22" spans="2:5" ht="13.8" x14ac:dyDescent="0.2">
      <c r="B22" s="89"/>
      <c r="C22" s="14"/>
      <c r="D22" s="13"/>
    </row>
    <row r="23" spans="2:5" ht="13.8" x14ac:dyDescent="0.2">
      <c r="B23" s="89" t="s">
        <v>89</v>
      </c>
      <c r="C23" s="14"/>
      <c r="D23" s="13" t="s">
        <v>90</v>
      </c>
    </row>
    <row r="24" spans="2:5" ht="13.8" x14ac:dyDescent="0.2">
      <c r="B24" s="89" t="s">
        <v>91</v>
      </c>
      <c r="C24" s="14"/>
      <c r="D24" s="13" t="s">
        <v>92</v>
      </c>
    </row>
    <row r="25" spans="2:5" ht="13.8" x14ac:dyDescent="0.2">
      <c r="B25" s="89" t="s">
        <v>93</v>
      </c>
      <c r="C25" s="14"/>
      <c r="D25" s="13" t="s">
        <v>94</v>
      </c>
    </row>
    <row r="26" spans="2:5" ht="13.8" x14ac:dyDescent="0.2">
      <c r="B26" s="89"/>
      <c r="C26" s="14"/>
      <c r="D26" s="13"/>
    </row>
    <row r="27" spans="2:5" ht="13.8" x14ac:dyDescent="0.2">
      <c r="B27" s="89" t="s">
        <v>95</v>
      </c>
      <c r="C27" s="14"/>
      <c r="D27" s="13" t="s">
        <v>96</v>
      </c>
      <c r="E27" s="15"/>
    </row>
    <row r="28" spans="2:5" ht="13.8" x14ac:dyDescent="0.2">
      <c r="B28" s="89" t="s">
        <v>97</v>
      </c>
      <c r="C28" s="14"/>
      <c r="D28" s="13" t="s">
        <v>98</v>
      </c>
    </row>
    <row r="29" spans="2:5" ht="13.8" x14ac:dyDescent="0.2">
      <c r="B29" s="89" t="s">
        <v>36</v>
      </c>
      <c r="C29" s="14"/>
      <c r="D29" s="13" t="s">
        <v>99</v>
      </c>
    </row>
    <row r="30" spans="2:5" ht="13.8" x14ac:dyDescent="0.2">
      <c r="B30" s="89"/>
      <c r="C30" s="14"/>
      <c r="D30" s="13"/>
    </row>
    <row r="31" spans="2:5" ht="13.8" x14ac:dyDescent="0.2">
      <c r="B31" s="16"/>
      <c r="C31" s="14"/>
      <c r="D31" s="13"/>
    </row>
    <row r="32" spans="2:5" ht="13.8" x14ac:dyDescent="0.2">
      <c r="B32" s="16"/>
      <c r="C32" s="14"/>
      <c r="D32" s="13"/>
    </row>
  </sheetData>
  <pageMargins left="0.7" right="0.7" top="0.78740157499999996" bottom="0.78740157499999996" header="0.3" footer="0.3"/>
  <pageSetup paperSize="9" scale="91"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4"/>
  <dimension ref="A1:F109"/>
  <sheetViews>
    <sheetView showGridLines="0" zoomScaleNormal="100" workbookViewId="0"/>
  </sheetViews>
  <sheetFormatPr baseColWidth="10" defaultColWidth="11.375" defaultRowHeight="13.8" x14ac:dyDescent="0.2"/>
  <cols>
    <col min="1" max="1" width="2.75" style="2" customWidth="1"/>
    <col min="2" max="2" width="18.875" style="3" bestFit="1" customWidth="1"/>
    <col min="3" max="3" width="2.75" style="2" customWidth="1"/>
    <col min="4" max="4" width="102" style="9" customWidth="1"/>
    <col min="5" max="5" width="1.875" style="7" customWidth="1"/>
    <col min="6" max="6" width="13.875" style="2" customWidth="1"/>
    <col min="7" max="16384" width="11.375" style="2"/>
  </cols>
  <sheetData>
    <row r="1" spans="1:5" s="4" customFormat="1" x14ac:dyDescent="0.2">
      <c r="B1" s="40"/>
      <c r="D1" s="46"/>
      <c r="E1" s="8"/>
    </row>
    <row r="2" spans="1:5" s="95" customFormat="1" ht="20.100000000000001" customHeight="1" x14ac:dyDescent="0.25">
      <c r="A2" s="93"/>
      <c r="B2" s="94" t="s">
        <v>44</v>
      </c>
      <c r="D2" s="96"/>
    </row>
    <row r="3" spans="1:5" s="80" customFormat="1" ht="50.25" customHeight="1" x14ac:dyDescent="0.25">
      <c r="A3" s="65"/>
      <c r="B3" s="79" t="s">
        <v>40</v>
      </c>
      <c r="D3" s="81"/>
    </row>
    <row r="4" spans="1:5" s="7" customFormat="1" x14ac:dyDescent="0.2">
      <c r="B4" s="18"/>
      <c r="C4" s="19"/>
      <c r="D4" s="20"/>
    </row>
    <row r="5" spans="1:5" s="7" customFormat="1" ht="193.8" x14ac:dyDescent="0.2">
      <c r="A5" s="70"/>
      <c r="B5" s="87" t="s">
        <v>100</v>
      </c>
      <c r="C5" s="21"/>
      <c r="D5" s="22" t="s">
        <v>139</v>
      </c>
    </row>
    <row r="6" spans="1:5" s="7" customFormat="1" x14ac:dyDescent="0.2">
      <c r="A6" s="70"/>
      <c r="B6" s="90"/>
      <c r="C6" s="19"/>
      <c r="D6" s="20"/>
    </row>
    <row r="7" spans="1:5" s="7" customFormat="1" x14ac:dyDescent="0.2">
      <c r="A7" s="70"/>
      <c r="B7" s="70"/>
      <c r="C7" s="19"/>
      <c r="D7" s="18" t="s">
        <v>101</v>
      </c>
    </row>
    <row r="8" spans="1:5" s="7" customFormat="1" x14ac:dyDescent="0.2">
      <c r="A8" s="70"/>
      <c r="B8" s="87"/>
      <c r="C8" s="24"/>
      <c r="D8" s="22"/>
    </row>
    <row r="9" spans="1:5" s="7" customFormat="1" ht="45.6" x14ac:dyDescent="0.2">
      <c r="A9" s="70"/>
      <c r="B9" s="87" t="s">
        <v>102</v>
      </c>
      <c r="C9" s="24"/>
      <c r="D9" s="47" t="s">
        <v>135</v>
      </c>
    </row>
    <row r="10" spans="1:5" s="7" customFormat="1" x14ac:dyDescent="0.2">
      <c r="A10" s="70"/>
      <c r="B10" s="87"/>
      <c r="C10" s="24"/>
      <c r="D10" s="47"/>
    </row>
    <row r="11" spans="1:5" s="7" customFormat="1" ht="102.6" x14ac:dyDescent="0.2">
      <c r="A11" s="70"/>
      <c r="B11" s="87" t="s">
        <v>103</v>
      </c>
      <c r="C11" s="24"/>
      <c r="D11" s="47" t="s">
        <v>136</v>
      </c>
    </row>
    <row r="12" spans="1:5" s="7" customFormat="1" x14ac:dyDescent="0.2">
      <c r="A12" s="70"/>
      <c r="B12" s="87"/>
      <c r="C12" s="24"/>
      <c r="D12" s="22"/>
    </row>
    <row r="13" spans="1:5" s="7" customFormat="1" ht="102.6" x14ac:dyDescent="0.2">
      <c r="A13" s="70"/>
      <c r="B13" s="87" t="s">
        <v>38</v>
      </c>
      <c r="C13" s="24"/>
      <c r="D13" s="22" t="s">
        <v>104</v>
      </c>
    </row>
    <row r="14" spans="1:5" s="7" customFormat="1" x14ac:dyDescent="0.2">
      <c r="A14" s="70"/>
      <c r="B14" s="87"/>
      <c r="C14" s="24"/>
      <c r="D14" s="22"/>
    </row>
    <row r="15" spans="1:5" s="7" customFormat="1" ht="68.400000000000006" x14ac:dyDescent="0.2">
      <c r="A15" s="70"/>
      <c r="B15" s="87" t="s">
        <v>105</v>
      </c>
      <c r="C15" s="24"/>
      <c r="D15" s="22" t="s">
        <v>106</v>
      </c>
    </row>
    <row r="16" spans="1:5" s="7" customFormat="1" x14ac:dyDescent="0.2">
      <c r="A16" s="70"/>
      <c r="B16" s="87"/>
      <c r="C16" s="24"/>
      <c r="D16" s="22"/>
    </row>
    <row r="17" spans="1:4" s="7" customFormat="1" ht="78" customHeight="1" x14ac:dyDescent="0.2">
      <c r="A17" s="70"/>
      <c r="B17" s="87" t="s">
        <v>107</v>
      </c>
      <c r="C17" s="24"/>
      <c r="D17" s="47" t="s">
        <v>137</v>
      </c>
    </row>
    <row r="18" spans="1:4" s="7" customFormat="1" x14ac:dyDescent="0.2">
      <c r="A18" s="70"/>
      <c r="B18" s="87"/>
      <c r="C18" s="24"/>
      <c r="D18" s="22"/>
    </row>
    <row r="19" spans="1:4" s="7" customFormat="1" ht="68.400000000000006" x14ac:dyDescent="0.2">
      <c r="A19" s="70"/>
      <c r="B19" s="87" t="s">
        <v>108</v>
      </c>
      <c r="C19" s="24"/>
      <c r="D19" s="48" t="s">
        <v>168</v>
      </c>
    </row>
    <row r="20" spans="1:4" s="7" customFormat="1" ht="91.2" x14ac:dyDescent="0.2">
      <c r="A20" s="70"/>
      <c r="B20" s="87"/>
      <c r="C20" s="24"/>
      <c r="D20" s="22" t="s">
        <v>152</v>
      </c>
    </row>
    <row r="21" spans="1:4" s="7" customFormat="1" ht="22.8" x14ac:dyDescent="0.2">
      <c r="A21" s="70"/>
      <c r="B21" s="87"/>
      <c r="C21" s="24"/>
      <c r="D21" s="22" t="s">
        <v>153</v>
      </c>
    </row>
    <row r="22" spans="1:4" s="7" customFormat="1" ht="45.6" x14ac:dyDescent="0.2">
      <c r="A22" s="70"/>
      <c r="B22" s="87"/>
      <c r="C22" s="24"/>
      <c r="D22" s="22" t="s">
        <v>151</v>
      </c>
    </row>
    <row r="23" spans="1:4" s="7" customFormat="1" ht="11.4" x14ac:dyDescent="0.2">
      <c r="A23" s="70"/>
      <c r="B23" s="70"/>
    </row>
    <row r="24" spans="1:4" s="7" customFormat="1" x14ac:dyDescent="0.2">
      <c r="A24" s="70"/>
      <c r="B24" s="87"/>
      <c r="C24" s="24"/>
      <c r="D24" s="22"/>
    </row>
    <row r="25" spans="1:4" s="7" customFormat="1" ht="57" x14ac:dyDescent="0.2">
      <c r="A25" s="70"/>
      <c r="B25" s="87" t="s">
        <v>109</v>
      </c>
      <c r="C25" s="24"/>
      <c r="D25" s="48" t="s">
        <v>160</v>
      </c>
    </row>
    <row r="26" spans="1:4" s="7" customFormat="1" ht="91.2" x14ac:dyDescent="0.2">
      <c r="A26" s="70"/>
      <c r="B26" s="87"/>
      <c r="C26" s="24"/>
      <c r="D26" s="48" t="s">
        <v>159</v>
      </c>
    </row>
    <row r="27" spans="1:4" s="7" customFormat="1" ht="57" x14ac:dyDescent="0.2">
      <c r="A27" s="70"/>
      <c r="B27" s="87"/>
      <c r="C27" s="24"/>
      <c r="D27" s="48" t="s">
        <v>158</v>
      </c>
    </row>
    <row r="28" spans="1:4" s="7" customFormat="1" ht="57" x14ac:dyDescent="0.2">
      <c r="A28" s="70"/>
      <c r="B28" s="87"/>
      <c r="C28" s="24"/>
      <c r="D28" s="48" t="s">
        <v>157</v>
      </c>
    </row>
    <row r="29" spans="1:4" s="7" customFormat="1" ht="45.6" x14ac:dyDescent="0.2">
      <c r="A29" s="70"/>
      <c r="B29" s="87"/>
      <c r="C29" s="24"/>
      <c r="D29" s="48" t="s">
        <v>156</v>
      </c>
    </row>
    <row r="30" spans="1:4" s="7" customFormat="1" ht="57" x14ac:dyDescent="0.2">
      <c r="A30" s="70"/>
      <c r="B30" s="87"/>
      <c r="C30" s="24"/>
      <c r="D30" s="48" t="s">
        <v>155</v>
      </c>
    </row>
    <row r="31" spans="1:4" s="7" customFormat="1" ht="22.8" x14ac:dyDescent="0.2">
      <c r="A31" s="70"/>
      <c r="B31" s="87"/>
      <c r="C31" s="24"/>
      <c r="D31" s="48" t="s">
        <v>154</v>
      </c>
    </row>
    <row r="32" spans="1:4" s="7" customFormat="1" x14ac:dyDescent="0.2">
      <c r="A32" s="70"/>
      <c r="B32" s="87"/>
      <c r="C32" s="24"/>
      <c r="D32" s="22"/>
    </row>
    <row r="33" spans="1:4" s="7" customFormat="1" ht="59.4" x14ac:dyDescent="0.2">
      <c r="A33" s="70"/>
      <c r="B33" s="87" t="s">
        <v>110</v>
      </c>
      <c r="C33" s="24"/>
      <c r="D33" s="48" t="s">
        <v>165</v>
      </c>
    </row>
    <row r="34" spans="1:4" s="7" customFormat="1" x14ac:dyDescent="0.2">
      <c r="A34" s="70"/>
      <c r="B34" s="87"/>
      <c r="C34" s="24"/>
      <c r="D34" s="48"/>
    </row>
    <row r="35" spans="1:4" s="7" customFormat="1" ht="70.8" x14ac:dyDescent="0.2">
      <c r="A35" s="70"/>
      <c r="B35" s="87"/>
      <c r="C35" s="24"/>
      <c r="D35" s="48" t="s">
        <v>166</v>
      </c>
    </row>
    <row r="36" spans="1:4" s="7" customFormat="1" x14ac:dyDescent="0.25">
      <c r="A36" s="70"/>
      <c r="B36" s="87"/>
      <c r="C36" s="24"/>
      <c r="D36" s="25"/>
    </row>
    <row r="37" spans="1:4" s="7" customFormat="1" ht="45" customHeight="1" x14ac:dyDescent="0.2">
      <c r="A37" s="379" t="s">
        <v>138</v>
      </c>
      <c r="B37" s="379"/>
      <c r="C37" s="24"/>
      <c r="D37" s="22" t="s">
        <v>111</v>
      </c>
    </row>
    <row r="38" spans="1:4" s="7" customFormat="1" x14ac:dyDescent="0.2">
      <c r="A38" s="70"/>
      <c r="B38" s="87"/>
      <c r="C38" s="24"/>
      <c r="D38" s="22"/>
    </row>
    <row r="39" spans="1:4" s="7" customFormat="1" ht="34.200000000000003" x14ac:dyDescent="0.2">
      <c r="A39" s="70"/>
      <c r="B39" s="87" t="s">
        <v>112</v>
      </c>
      <c r="C39" s="24"/>
      <c r="D39" s="22" t="s">
        <v>162</v>
      </c>
    </row>
    <row r="40" spans="1:4" s="7" customFormat="1" ht="114" x14ac:dyDescent="0.2">
      <c r="A40" s="70"/>
      <c r="B40" s="87"/>
      <c r="C40" s="24"/>
      <c r="D40" s="22" t="s">
        <v>161</v>
      </c>
    </row>
    <row r="41" spans="1:4" s="7" customFormat="1" x14ac:dyDescent="0.2">
      <c r="A41" s="70"/>
      <c r="B41" s="87"/>
      <c r="C41" s="24"/>
      <c r="D41" s="22"/>
    </row>
    <row r="42" spans="1:4" s="7" customFormat="1" ht="68.400000000000006" x14ac:dyDescent="0.2">
      <c r="A42" s="70"/>
      <c r="B42" s="87" t="s">
        <v>134</v>
      </c>
      <c r="C42" s="24"/>
      <c r="D42" s="22" t="s">
        <v>133</v>
      </c>
    </row>
    <row r="43" spans="1:4" s="7" customFormat="1" x14ac:dyDescent="0.2">
      <c r="A43" s="70"/>
      <c r="B43" s="87"/>
      <c r="C43" s="24"/>
      <c r="D43" s="22"/>
    </row>
    <row r="44" spans="1:4" s="7" customFormat="1" ht="91.2" x14ac:dyDescent="0.2">
      <c r="A44" s="70"/>
      <c r="B44" s="87" t="s">
        <v>113</v>
      </c>
      <c r="C44" s="24"/>
      <c r="D44" s="22" t="s">
        <v>163</v>
      </c>
    </row>
    <row r="45" spans="1:4" s="7" customFormat="1" ht="148.19999999999999" x14ac:dyDescent="0.2">
      <c r="A45" s="70"/>
      <c r="B45" s="70"/>
      <c r="D45" s="53" t="s">
        <v>164</v>
      </c>
    </row>
    <row r="46" spans="1:4" s="7" customFormat="1" x14ac:dyDescent="0.2">
      <c r="A46" s="70"/>
      <c r="B46" s="87"/>
      <c r="C46" s="24"/>
      <c r="D46" s="22"/>
    </row>
    <row r="47" spans="1:4" s="7" customFormat="1" ht="27.6" x14ac:dyDescent="0.2">
      <c r="A47" s="70"/>
      <c r="B47" s="87" t="s">
        <v>114</v>
      </c>
      <c r="C47" s="24"/>
      <c r="D47" s="22" t="s">
        <v>115</v>
      </c>
    </row>
    <row r="48" spans="1:4" s="7" customFormat="1" x14ac:dyDescent="0.2">
      <c r="A48" s="70"/>
      <c r="B48" s="87"/>
      <c r="C48" s="24"/>
      <c r="D48" s="49" t="s">
        <v>140</v>
      </c>
    </row>
    <row r="49" spans="1:4" s="7" customFormat="1" ht="79.8" x14ac:dyDescent="0.2">
      <c r="A49" s="70"/>
      <c r="B49" s="87"/>
      <c r="C49" s="24"/>
      <c r="D49" s="22" t="s">
        <v>116</v>
      </c>
    </row>
    <row r="50" spans="1:4" s="7" customFormat="1" x14ac:dyDescent="0.2">
      <c r="A50" s="70"/>
      <c r="B50" s="87"/>
      <c r="C50" s="24"/>
      <c r="D50" s="50" t="s">
        <v>141</v>
      </c>
    </row>
    <row r="51" spans="1:4" s="7" customFormat="1" ht="68.400000000000006" x14ac:dyDescent="0.2">
      <c r="A51" s="70"/>
      <c r="B51" s="87"/>
      <c r="C51" s="24"/>
      <c r="D51" s="22" t="s">
        <v>144</v>
      </c>
    </row>
    <row r="52" spans="1:4" s="7" customFormat="1" x14ac:dyDescent="0.2">
      <c r="A52" s="70"/>
      <c r="B52" s="87"/>
      <c r="C52" s="24"/>
      <c r="D52" s="22"/>
    </row>
    <row r="53" spans="1:4" s="7" customFormat="1" x14ac:dyDescent="0.2">
      <c r="A53" s="70"/>
      <c r="B53" s="87"/>
      <c r="C53" s="24"/>
      <c r="D53" s="50" t="s">
        <v>143</v>
      </c>
    </row>
    <row r="54" spans="1:4" s="7" customFormat="1" x14ac:dyDescent="0.2">
      <c r="A54" s="70"/>
      <c r="B54" s="87"/>
      <c r="C54" s="24"/>
      <c r="D54" s="22" t="s">
        <v>142</v>
      </c>
    </row>
    <row r="55" spans="1:4" s="7" customFormat="1" x14ac:dyDescent="0.2">
      <c r="A55" s="70"/>
      <c r="B55" s="87"/>
      <c r="C55" s="24"/>
      <c r="D55" s="32" t="s">
        <v>117</v>
      </c>
    </row>
    <row r="56" spans="1:4" s="7" customFormat="1" ht="28.5" customHeight="1" x14ac:dyDescent="0.2">
      <c r="A56" s="70"/>
      <c r="B56" s="87"/>
      <c r="C56" s="24"/>
      <c r="D56" s="22" t="s">
        <v>118</v>
      </c>
    </row>
    <row r="57" spans="1:4" s="7" customFormat="1" ht="28.5" customHeight="1" x14ac:dyDescent="0.2">
      <c r="A57" s="70"/>
      <c r="B57" s="87"/>
      <c r="C57" s="24"/>
      <c r="D57" s="32" t="s">
        <v>119</v>
      </c>
    </row>
    <row r="58" spans="1:4" s="7" customFormat="1" x14ac:dyDescent="0.2">
      <c r="A58" s="70"/>
      <c r="B58" s="87"/>
      <c r="C58" s="24"/>
      <c r="D58" s="22"/>
    </row>
    <row r="59" spans="1:4" s="7" customFormat="1" ht="91.2" x14ac:dyDescent="0.2">
      <c r="A59" s="70"/>
      <c r="B59" s="87" t="s">
        <v>120</v>
      </c>
      <c r="C59" s="24"/>
      <c r="D59" s="22" t="s">
        <v>121</v>
      </c>
    </row>
    <row r="60" spans="1:4" s="7" customFormat="1" x14ac:dyDescent="0.2">
      <c r="A60" s="70"/>
      <c r="B60" s="87"/>
      <c r="C60" s="24"/>
      <c r="D60" s="22"/>
    </row>
    <row r="61" spans="1:4" s="7" customFormat="1" ht="68.400000000000006" x14ac:dyDescent="0.2">
      <c r="A61" s="70"/>
      <c r="B61" s="87" t="s">
        <v>122</v>
      </c>
      <c r="C61" s="24"/>
      <c r="D61" s="22" t="s">
        <v>123</v>
      </c>
    </row>
    <row r="62" spans="1:4" s="7" customFormat="1" x14ac:dyDescent="0.2">
      <c r="A62" s="70"/>
      <c r="B62" s="87"/>
      <c r="C62" s="24"/>
      <c r="D62" s="22"/>
    </row>
    <row r="63" spans="1:4" s="7" customFormat="1" ht="125.4" x14ac:dyDescent="0.2">
      <c r="A63" s="70"/>
      <c r="B63" s="194" t="s">
        <v>313</v>
      </c>
      <c r="C63" s="24"/>
      <c r="D63" s="48" t="s">
        <v>204</v>
      </c>
    </row>
    <row r="64" spans="1:4" s="7" customFormat="1" x14ac:dyDescent="0.2">
      <c r="A64" s="70"/>
      <c r="B64" s="87"/>
      <c r="C64" s="24"/>
      <c r="D64" s="22"/>
    </row>
    <row r="65" spans="1:6" s="7" customFormat="1" x14ac:dyDescent="0.2">
      <c r="A65" s="70"/>
      <c r="B65" s="87"/>
      <c r="C65" s="24"/>
      <c r="D65" s="22"/>
    </row>
    <row r="66" spans="1:6" s="7" customFormat="1" ht="11.4" x14ac:dyDescent="0.2">
      <c r="A66" s="70"/>
      <c r="B66" s="70"/>
    </row>
    <row r="67" spans="1:6" s="7" customFormat="1" x14ac:dyDescent="0.25">
      <c r="A67" s="70"/>
      <c r="B67" s="70"/>
      <c r="E67" s="27"/>
    </row>
    <row r="68" spans="1:6" x14ac:dyDescent="0.2">
      <c r="A68" s="91"/>
      <c r="B68" s="85"/>
    </row>
    <row r="69" spans="1:6" x14ac:dyDescent="0.2">
      <c r="A69" s="91"/>
      <c r="B69" s="85"/>
    </row>
    <row r="70" spans="1:6" x14ac:dyDescent="0.2">
      <c r="A70" s="91"/>
      <c r="B70" s="85"/>
    </row>
    <row r="71" spans="1:6" x14ac:dyDescent="0.2">
      <c r="A71" s="91"/>
      <c r="B71" s="85"/>
    </row>
    <row r="72" spans="1:6" x14ac:dyDescent="0.2">
      <c r="A72" s="91"/>
      <c r="B72" s="85"/>
    </row>
    <row r="73" spans="1:6" x14ac:dyDescent="0.2">
      <c r="A73" s="91"/>
      <c r="B73" s="85"/>
    </row>
    <row r="74" spans="1:6" x14ac:dyDescent="0.2">
      <c r="A74" s="91"/>
      <c r="B74" s="85"/>
    </row>
    <row r="75" spans="1:6" x14ac:dyDescent="0.2">
      <c r="A75" s="91"/>
      <c r="B75" s="85"/>
    </row>
    <row r="76" spans="1:6" x14ac:dyDescent="0.2">
      <c r="A76" s="91"/>
      <c r="B76" s="85"/>
    </row>
    <row r="77" spans="1:6" s="7" customFormat="1" ht="11.4" x14ac:dyDescent="0.2">
      <c r="A77" s="91"/>
      <c r="B77" s="70"/>
      <c r="F77" s="2"/>
    </row>
    <row r="78" spans="1:6" s="7" customFormat="1" ht="11.4" x14ac:dyDescent="0.2">
      <c r="A78" s="91"/>
      <c r="B78" s="70"/>
      <c r="F78" s="2"/>
    </row>
    <row r="79" spans="1:6" s="7" customFormat="1" ht="11.4" x14ac:dyDescent="0.2">
      <c r="A79" s="91"/>
      <c r="B79" s="70"/>
      <c r="F79" s="2"/>
    </row>
    <row r="80" spans="1:6" s="7" customFormat="1" ht="11.4" x14ac:dyDescent="0.2">
      <c r="A80" s="91"/>
      <c r="B80" s="70"/>
      <c r="F80" s="2"/>
    </row>
    <row r="81" spans="1:6" s="7" customFormat="1" ht="11.4" x14ac:dyDescent="0.2">
      <c r="A81" s="91"/>
      <c r="B81" s="70"/>
      <c r="F81" s="2"/>
    </row>
    <row r="82" spans="1:6" s="7" customFormat="1" ht="11.4" x14ac:dyDescent="0.2">
      <c r="A82" s="91"/>
      <c r="B82" s="70"/>
      <c r="F82" s="2"/>
    </row>
    <row r="83" spans="1:6" s="7" customFormat="1" ht="11.4" x14ac:dyDescent="0.2">
      <c r="A83" s="91"/>
      <c r="B83" s="70"/>
      <c r="F83" s="2"/>
    </row>
    <row r="84" spans="1:6" s="7" customFormat="1" ht="11.4" x14ac:dyDescent="0.2">
      <c r="A84" s="70"/>
      <c r="B84" s="70"/>
    </row>
    <row r="85" spans="1:6" s="7" customFormat="1" x14ac:dyDescent="0.2">
      <c r="B85" s="52"/>
      <c r="C85" s="24"/>
      <c r="D85" s="22"/>
    </row>
    <row r="86" spans="1:6" s="7" customFormat="1" x14ac:dyDescent="0.2">
      <c r="B86" s="52" t="s">
        <v>126</v>
      </c>
      <c r="C86" s="24"/>
      <c r="D86" s="22"/>
    </row>
    <row r="87" spans="1:6" s="7" customFormat="1" x14ac:dyDescent="0.2">
      <c r="B87" s="52"/>
      <c r="C87" s="24"/>
      <c r="D87" s="22"/>
    </row>
    <row r="88" spans="1:6" s="7" customFormat="1" x14ac:dyDescent="0.2">
      <c r="B88" s="52"/>
      <c r="C88" s="24"/>
      <c r="D88" s="22"/>
    </row>
    <row r="89" spans="1:6" s="7" customFormat="1" x14ac:dyDescent="0.2">
      <c r="B89" s="52"/>
      <c r="C89" s="24"/>
      <c r="D89" s="22"/>
    </row>
    <row r="90" spans="1:6" s="7" customFormat="1" x14ac:dyDescent="0.2">
      <c r="B90" s="52"/>
      <c r="C90" s="24"/>
      <c r="D90" s="22"/>
    </row>
    <row r="91" spans="1:6" s="7" customFormat="1" x14ac:dyDescent="0.2">
      <c r="B91" s="52"/>
      <c r="C91" s="24"/>
      <c r="D91" s="22"/>
    </row>
    <row r="92" spans="1:6" s="7" customFormat="1" x14ac:dyDescent="0.2">
      <c r="B92" s="52"/>
      <c r="C92" s="24"/>
      <c r="D92" s="22"/>
    </row>
    <row r="93" spans="1:6" s="7" customFormat="1" x14ac:dyDescent="0.2">
      <c r="B93" s="52"/>
      <c r="C93" s="24"/>
      <c r="D93" s="22"/>
    </row>
    <row r="94" spans="1:6" s="7" customFormat="1" x14ac:dyDescent="0.2">
      <c r="B94" s="52"/>
      <c r="C94" s="24"/>
      <c r="D94" s="22"/>
    </row>
    <row r="95" spans="1:6" s="7" customFormat="1" x14ac:dyDescent="0.2">
      <c r="B95" s="52"/>
      <c r="C95" s="24"/>
      <c r="D95" s="22"/>
    </row>
    <row r="96" spans="1:6" s="7" customFormat="1" x14ac:dyDescent="0.2">
      <c r="B96" s="52"/>
      <c r="C96" s="24"/>
      <c r="D96" s="22"/>
    </row>
    <row r="97" spans="1:6" s="7" customFormat="1" x14ac:dyDescent="0.2">
      <c r="B97" s="52"/>
      <c r="C97" s="24"/>
      <c r="D97" s="22"/>
    </row>
    <row r="98" spans="1:6" s="7" customFormat="1" x14ac:dyDescent="0.2">
      <c r="B98" s="52"/>
      <c r="C98" s="24"/>
      <c r="D98" s="22"/>
    </row>
    <row r="99" spans="1:6" s="7" customFormat="1" x14ac:dyDescent="0.2">
      <c r="B99" s="52"/>
      <c r="C99" s="24"/>
      <c r="D99" s="22"/>
    </row>
    <row r="100" spans="1:6" s="7" customFormat="1" x14ac:dyDescent="0.2">
      <c r="B100" s="52"/>
      <c r="C100" s="24"/>
      <c r="D100" s="22"/>
    </row>
    <row r="101" spans="1:6" s="7" customFormat="1" x14ac:dyDescent="0.2">
      <c r="B101" s="52"/>
      <c r="C101" s="24"/>
      <c r="D101" s="22"/>
    </row>
    <row r="102" spans="1:6" s="7" customFormat="1" x14ac:dyDescent="0.2">
      <c r="B102" s="52"/>
      <c r="C102" s="24"/>
      <c r="D102" s="22"/>
    </row>
    <row r="103" spans="1:6" s="7" customFormat="1" x14ac:dyDescent="0.2">
      <c r="B103" s="52"/>
      <c r="C103" s="24"/>
      <c r="D103" s="22"/>
    </row>
    <row r="104" spans="1:6" s="7" customFormat="1" x14ac:dyDescent="0.2">
      <c r="B104" s="52"/>
      <c r="C104" s="24"/>
      <c r="D104" s="22"/>
    </row>
    <row r="105" spans="1:6" s="7" customFormat="1" x14ac:dyDescent="0.2">
      <c r="B105" s="52"/>
      <c r="C105" s="24"/>
      <c r="D105" s="22"/>
    </row>
    <row r="106" spans="1:6" s="7" customFormat="1" x14ac:dyDescent="0.2">
      <c r="B106" s="52"/>
      <c r="C106" s="24"/>
      <c r="D106" s="22"/>
    </row>
    <row r="107" spans="1:6" s="7" customFormat="1" x14ac:dyDescent="0.2">
      <c r="B107" s="52"/>
      <c r="C107" s="24"/>
      <c r="D107" s="22"/>
    </row>
    <row r="108" spans="1:6" s="7" customFormat="1" x14ac:dyDescent="0.2">
      <c r="B108" s="52"/>
      <c r="D108" s="28"/>
    </row>
    <row r="109" spans="1:6" s="7" customFormat="1" x14ac:dyDescent="0.2">
      <c r="A109" s="2"/>
      <c r="B109" s="3"/>
      <c r="C109" s="2"/>
      <c r="D109" s="29"/>
      <c r="F109" s="2"/>
    </row>
  </sheetData>
  <mergeCells count="1">
    <mergeCell ref="A37:B37"/>
  </mergeCells>
  <hyperlinks>
    <hyperlink ref="D55" r:id="rId1" xr:uid="{00000000-0004-0000-0200-000000000000}"/>
    <hyperlink ref="D57" r:id="rId2" xr:uid="{00000000-0004-0000-0200-000001000000}"/>
  </hyperlinks>
  <pageMargins left="0.7" right="0.7" top="0.78740157499999996" bottom="0.78740157499999996" header="0.3" footer="0.3"/>
  <pageSetup paperSize="9" orientation="landscape"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5"/>
  <dimension ref="A1:G91"/>
  <sheetViews>
    <sheetView showGridLines="0" zoomScaleNormal="100" workbookViewId="0"/>
  </sheetViews>
  <sheetFormatPr baseColWidth="10" defaultColWidth="11.375" defaultRowHeight="13.8" x14ac:dyDescent="0.2"/>
  <cols>
    <col min="1" max="1" width="2.75" style="2" customWidth="1"/>
    <col min="2" max="2" width="18.875" style="3" bestFit="1" customWidth="1"/>
    <col min="3" max="3" width="2.75" style="2" customWidth="1"/>
    <col min="4" max="4" width="102" style="34" customWidth="1"/>
    <col min="5" max="5" width="1.875" style="7" customWidth="1"/>
    <col min="6" max="16384" width="11.375" style="2"/>
  </cols>
  <sheetData>
    <row r="1" spans="1:5" s="4" customFormat="1" x14ac:dyDescent="0.2">
      <c r="B1" s="40"/>
      <c r="D1" s="46"/>
      <c r="E1" s="8"/>
    </row>
    <row r="2" spans="1:5" s="95" customFormat="1" ht="20.100000000000001" customHeight="1" x14ac:dyDescent="0.25">
      <c r="A2" s="93"/>
      <c r="B2" s="94" t="s">
        <v>44</v>
      </c>
      <c r="D2" s="96"/>
    </row>
    <row r="3" spans="1:5" s="80" customFormat="1" ht="50.25" customHeight="1" x14ac:dyDescent="0.25">
      <c r="A3" s="65"/>
      <c r="B3" s="79" t="s">
        <v>41</v>
      </c>
      <c r="D3" s="81"/>
    </row>
    <row r="4" spans="1:5" s="7" customFormat="1" ht="20.100000000000001" customHeight="1" x14ac:dyDescent="0.2">
      <c r="A4" s="5"/>
      <c r="B4" s="3"/>
      <c r="D4" s="30"/>
    </row>
    <row r="5" spans="1:5" s="7" customFormat="1" x14ac:dyDescent="0.25">
      <c r="B5" s="6"/>
      <c r="C5" s="31"/>
      <c r="D5" s="32" t="s">
        <v>39</v>
      </c>
    </row>
    <row r="6" spans="1:5" s="7" customFormat="1" x14ac:dyDescent="0.25">
      <c r="B6" s="23"/>
      <c r="C6" s="31"/>
      <c r="D6" s="32" t="s">
        <v>145</v>
      </c>
    </row>
    <row r="7" spans="1:5" s="7" customFormat="1" x14ac:dyDescent="0.25">
      <c r="B7" s="23"/>
      <c r="C7" s="31"/>
      <c r="D7" s="32" t="s">
        <v>40</v>
      </c>
    </row>
    <row r="8" spans="1:5" s="7" customFormat="1" x14ac:dyDescent="0.25">
      <c r="B8" s="23"/>
      <c r="C8" s="31"/>
      <c r="D8" s="33" t="s">
        <v>41</v>
      </c>
    </row>
    <row r="9" spans="1:5" s="7" customFormat="1" x14ac:dyDescent="0.25">
      <c r="B9" s="23"/>
      <c r="C9" s="31"/>
      <c r="D9" s="33"/>
    </row>
    <row r="10" spans="1:5" s="7" customFormat="1" x14ac:dyDescent="0.2">
      <c r="B10" s="87" t="s">
        <v>42</v>
      </c>
      <c r="C10" s="70"/>
      <c r="D10" s="92" t="s">
        <v>43</v>
      </c>
    </row>
    <row r="11" spans="1:5" s="7" customFormat="1" ht="11.4" x14ac:dyDescent="0.2">
      <c r="B11" s="54" t="s">
        <v>45</v>
      </c>
      <c r="D11" s="55" t="s">
        <v>184</v>
      </c>
    </row>
    <row r="12" spans="1:5" s="7" customFormat="1" ht="11.4" x14ac:dyDescent="0.2">
      <c r="B12" s="54" t="s">
        <v>46</v>
      </c>
      <c r="D12" s="55" t="s">
        <v>185</v>
      </c>
    </row>
    <row r="13" spans="1:5" s="7" customFormat="1" ht="11.4" x14ac:dyDescent="0.2">
      <c r="B13" s="54" t="s">
        <v>127</v>
      </c>
      <c r="D13" s="55" t="s">
        <v>186</v>
      </c>
    </row>
    <row r="14" spans="1:5" s="7" customFormat="1" ht="11.4" x14ac:dyDescent="0.2">
      <c r="B14" s="54" t="s">
        <v>128</v>
      </c>
      <c r="D14" s="55" t="s">
        <v>187</v>
      </c>
    </row>
    <row r="15" spans="1:5" s="7" customFormat="1" ht="11.4" x14ac:dyDescent="0.2">
      <c r="B15" s="54" t="s">
        <v>47</v>
      </c>
      <c r="D15" s="55" t="s">
        <v>188</v>
      </c>
    </row>
    <row r="16" spans="1:5" s="7" customFormat="1" ht="11.4" x14ac:dyDescent="0.2">
      <c r="B16" s="54" t="s">
        <v>48</v>
      </c>
      <c r="D16" s="55" t="s">
        <v>189</v>
      </c>
    </row>
    <row r="17" spans="2:7" s="7" customFormat="1" ht="11.4" x14ac:dyDescent="0.2">
      <c r="B17" s="54" t="s">
        <v>49</v>
      </c>
      <c r="D17" s="55" t="s">
        <v>190</v>
      </c>
    </row>
    <row r="18" spans="2:7" s="7" customFormat="1" ht="11.4" x14ac:dyDescent="0.2">
      <c r="B18" s="54" t="s">
        <v>50</v>
      </c>
      <c r="D18" s="55" t="s">
        <v>191</v>
      </c>
      <c r="E18" s="192"/>
      <c r="F18" s="192"/>
      <c r="G18" s="192"/>
    </row>
    <row r="19" spans="2:7" s="7" customFormat="1" ht="11.4" x14ac:dyDescent="0.2">
      <c r="B19" s="54" t="s">
        <v>51</v>
      </c>
      <c r="D19" s="55" t="s">
        <v>192</v>
      </c>
      <c r="E19" s="192"/>
      <c r="F19" s="192"/>
      <c r="G19" s="192"/>
    </row>
    <row r="20" spans="2:7" s="7" customFormat="1" ht="11.4" x14ac:dyDescent="0.2">
      <c r="B20" s="54" t="s">
        <v>52</v>
      </c>
      <c r="D20" s="55" t="s">
        <v>193</v>
      </c>
      <c r="E20" s="192"/>
      <c r="F20" s="192"/>
      <c r="G20" s="192"/>
    </row>
    <row r="21" spans="2:7" s="7" customFormat="1" ht="11.4" x14ac:dyDescent="0.2">
      <c r="B21" s="54" t="s">
        <v>53</v>
      </c>
      <c r="D21" s="55" t="s">
        <v>194</v>
      </c>
      <c r="E21" s="192"/>
      <c r="F21" s="192"/>
      <c r="G21" s="192"/>
    </row>
    <row r="22" spans="2:7" s="7" customFormat="1" ht="11.4" x14ac:dyDescent="0.2">
      <c r="B22" s="54" t="s">
        <v>54</v>
      </c>
      <c r="D22" s="249" t="s">
        <v>183</v>
      </c>
      <c r="E22" s="192"/>
      <c r="F22" s="192"/>
      <c r="G22" s="192"/>
    </row>
    <row r="23" spans="2:7" s="7" customFormat="1" ht="11.4" x14ac:dyDescent="0.2">
      <c r="B23" s="54" t="s">
        <v>55</v>
      </c>
      <c r="D23" s="55" t="s">
        <v>195</v>
      </c>
      <c r="E23" s="192"/>
      <c r="F23" s="192"/>
      <c r="G23" s="192"/>
    </row>
    <row r="24" spans="2:7" s="7" customFormat="1" ht="11.4" x14ac:dyDescent="0.2">
      <c r="B24" s="54" t="s">
        <v>129</v>
      </c>
      <c r="D24" s="55" t="s">
        <v>195</v>
      </c>
    </row>
    <row r="25" spans="2:7" s="7" customFormat="1" ht="11.4" x14ac:dyDescent="0.2">
      <c r="B25" s="54" t="s">
        <v>56</v>
      </c>
      <c r="D25" s="55" t="s">
        <v>196</v>
      </c>
    </row>
    <row r="26" spans="2:7" s="7" customFormat="1" ht="11.4" x14ac:dyDescent="0.2">
      <c r="B26" s="54" t="s">
        <v>57</v>
      </c>
      <c r="D26" s="55" t="s">
        <v>197</v>
      </c>
    </row>
    <row r="27" spans="2:7" s="7" customFormat="1" ht="11.4" x14ac:dyDescent="0.2">
      <c r="B27" s="54" t="s">
        <v>58</v>
      </c>
      <c r="D27" s="55" t="s">
        <v>198</v>
      </c>
    </row>
    <row r="28" spans="2:7" s="7" customFormat="1" ht="11.4" x14ac:dyDescent="0.2">
      <c r="B28" s="54" t="s">
        <v>130</v>
      </c>
      <c r="D28" s="55" t="s">
        <v>198</v>
      </c>
    </row>
    <row r="29" spans="2:7" s="7" customFormat="1" ht="11.4" x14ac:dyDescent="0.2">
      <c r="B29" s="54" t="s">
        <v>59</v>
      </c>
      <c r="D29" s="55" t="s">
        <v>199</v>
      </c>
    </row>
    <row r="30" spans="2:7" s="7" customFormat="1" ht="11.4" x14ac:dyDescent="0.2">
      <c r="B30" s="54" t="s">
        <v>60</v>
      </c>
      <c r="D30" s="55" t="s">
        <v>200</v>
      </c>
    </row>
    <row r="31" spans="2:7" s="7" customFormat="1" ht="11.4" x14ac:dyDescent="0.2">
      <c r="B31" s="54" t="s">
        <v>61</v>
      </c>
      <c r="D31" s="55" t="s">
        <v>201</v>
      </c>
    </row>
    <row r="32" spans="2:7" s="7" customFormat="1" ht="11.4" x14ac:dyDescent="0.2">
      <c r="B32" s="54" t="s">
        <v>62</v>
      </c>
      <c r="D32" s="55" t="s">
        <v>202</v>
      </c>
    </row>
    <row r="33" spans="2:4" s="7" customFormat="1" ht="11.4" x14ac:dyDescent="0.2">
      <c r="B33" s="54" t="s">
        <v>63</v>
      </c>
      <c r="D33" s="55" t="s">
        <v>203</v>
      </c>
    </row>
    <row r="34" spans="2:4" s="7" customFormat="1" x14ac:dyDescent="0.25">
      <c r="B34" s="23"/>
      <c r="C34" s="31"/>
      <c r="D34" s="56"/>
    </row>
    <row r="35" spans="2:4" s="7" customFormat="1" x14ac:dyDescent="0.25">
      <c r="B35" s="23"/>
      <c r="C35" s="31"/>
      <c r="D35" s="56"/>
    </row>
    <row r="36" spans="2:4" s="7" customFormat="1" ht="11.4" x14ac:dyDescent="0.2">
      <c r="B36" s="23"/>
      <c r="C36" s="24"/>
      <c r="D36" s="193"/>
    </row>
    <row r="37" spans="2:4" s="7" customFormat="1" x14ac:dyDescent="0.2">
      <c r="B37" s="6"/>
      <c r="C37" s="24"/>
      <c r="D37" s="35"/>
    </row>
    <row r="38" spans="2:4" s="7" customFormat="1" x14ac:dyDescent="0.2">
      <c r="B38" s="6"/>
      <c r="C38" s="24"/>
      <c r="D38" s="35"/>
    </row>
    <row r="39" spans="2:4" s="7" customFormat="1" x14ac:dyDescent="0.2">
      <c r="B39" s="6"/>
      <c r="C39" s="24"/>
      <c r="D39" s="35"/>
    </row>
    <row r="40" spans="2:4" s="7" customFormat="1" x14ac:dyDescent="0.2">
      <c r="B40" s="6"/>
      <c r="C40" s="24"/>
      <c r="D40" s="35"/>
    </row>
    <row r="41" spans="2:4" s="7" customFormat="1" x14ac:dyDescent="0.2">
      <c r="B41" s="6"/>
      <c r="C41" s="24"/>
      <c r="D41" s="35"/>
    </row>
    <row r="42" spans="2:4" s="7" customFormat="1" x14ac:dyDescent="0.2">
      <c r="B42" s="6"/>
      <c r="C42" s="24"/>
      <c r="D42" s="35"/>
    </row>
    <row r="43" spans="2:4" s="7" customFormat="1" x14ac:dyDescent="0.2">
      <c r="B43" s="6"/>
      <c r="C43" s="24"/>
      <c r="D43" s="35"/>
    </row>
    <row r="44" spans="2:4" s="7" customFormat="1" x14ac:dyDescent="0.2">
      <c r="B44" s="6"/>
      <c r="C44" s="24"/>
      <c r="D44" s="35"/>
    </row>
    <row r="45" spans="2:4" s="7" customFormat="1" x14ac:dyDescent="0.2">
      <c r="B45" s="6"/>
      <c r="C45" s="24"/>
      <c r="D45" s="35"/>
    </row>
    <row r="46" spans="2:4" s="7" customFormat="1" x14ac:dyDescent="0.2">
      <c r="B46" s="6"/>
      <c r="C46" s="24"/>
      <c r="D46" s="36"/>
    </row>
    <row r="47" spans="2:4" s="7" customFormat="1" ht="28.5" customHeight="1" x14ac:dyDescent="0.2">
      <c r="B47" s="6"/>
      <c r="C47" s="24"/>
      <c r="D47" s="36"/>
    </row>
    <row r="48" spans="2:4" s="7" customFormat="1" x14ac:dyDescent="0.2">
      <c r="B48" s="6"/>
      <c r="C48" s="24"/>
      <c r="D48" s="36"/>
    </row>
    <row r="49" spans="2:4" s="7" customFormat="1" x14ac:dyDescent="0.2">
      <c r="B49" s="6"/>
      <c r="C49" s="24"/>
      <c r="D49" s="37"/>
    </row>
    <row r="50" spans="2:4" s="7" customFormat="1" ht="28.5" customHeight="1" x14ac:dyDescent="0.2">
      <c r="B50" s="6"/>
      <c r="C50" s="24"/>
      <c r="D50" s="36"/>
    </row>
    <row r="51" spans="2:4" s="7" customFormat="1" ht="28.5" customHeight="1" x14ac:dyDescent="0.2">
      <c r="B51" s="6"/>
      <c r="C51" s="24"/>
      <c r="D51" s="37"/>
    </row>
    <row r="52" spans="2:4" s="7" customFormat="1" x14ac:dyDescent="0.2">
      <c r="B52" s="6"/>
      <c r="C52" s="24"/>
      <c r="D52" s="36"/>
    </row>
    <row r="53" spans="2:4" s="7" customFormat="1" x14ac:dyDescent="0.2">
      <c r="B53" s="6"/>
      <c r="C53" s="24"/>
      <c r="D53" s="36"/>
    </row>
    <row r="54" spans="2:4" s="7" customFormat="1" x14ac:dyDescent="0.2">
      <c r="B54" s="6"/>
      <c r="C54" s="24"/>
      <c r="D54" s="36"/>
    </row>
    <row r="55" spans="2:4" s="7" customFormat="1" x14ac:dyDescent="0.2">
      <c r="B55" s="6"/>
      <c r="C55" s="24"/>
      <c r="D55" s="36"/>
    </row>
    <row r="56" spans="2:4" s="7" customFormat="1" x14ac:dyDescent="0.2">
      <c r="B56" s="6"/>
      <c r="C56" s="24"/>
      <c r="D56" s="36"/>
    </row>
    <row r="57" spans="2:4" s="7" customFormat="1" x14ac:dyDescent="0.2">
      <c r="B57" s="6"/>
      <c r="C57" s="24"/>
      <c r="D57" s="36"/>
    </row>
    <row r="58" spans="2:4" s="7" customFormat="1" x14ac:dyDescent="0.2">
      <c r="B58" s="6"/>
      <c r="C58" s="24"/>
      <c r="D58" s="36"/>
    </row>
    <row r="59" spans="2:4" s="7" customFormat="1" x14ac:dyDescent="0.2">
      <c r="B59" s="6"/>
      <c r="C59" s="24"/>
      <c r="D59" s="36"/>
    </row>
    <row r="60" spans="2:4" s="7" customFormat="1" x14ac:dyDescent="0.2">
      <c r="B60" s="6"/>
      <c r="C60" s="24"/>
      <c r="D60" s="36"/>
    </row>
    <row r="61" spans="2:4" s="7" customFormat="1" x14ac:dyDescent="0.2">
      <c r="B61" s="6"/>
      <c r="C61" s="24"/>
      <c r="D61" s="36"/>
    </row>
    <row r="62" spans="2:4" s="7" customFormat="1" x14ac:dyDescent="0.2">
      <c r="B62" s="6"/>
      <c r="C62" s="24"/>
      <c r="D62" s="36"/>
    </row>
    <row r="63" spans="2:4" s="7" customFormat="1" x14ac:dyDescent="0.2">
      <c r="B63" s="6"/>
      <c r="C63" s="24"/>
      <c r="D63" s="38"/>
    </row>
    <row r="64" spans="2:4" s="7" customFormat="1" x14ac:dyDescent="0.2">
      <c r="B64" s="6"/>
      <c r="C64" s="24"/>
      <c r="D64" s="38"/>
    </row>
    <row r="65" spans="2:5" s="7" customFormat="1" x14ac:dyDescent="0.2">
      <c r="B65" s="6"/>
      <c r="C65" s="24"/>
      <c r="D65" s="38"/>
    </row>
    <row r="66" spans="2:5" s="7" customFormat="1" x14ac:dyDescent="0.2">
      <c r="B66" s="6"/>
      <c r="C66" s="24"/>
      <c r="D66" s="36"/>
    </row>
    <row r="67" spans="2:5" s="7" customFormat="1" x14ac:dyDescent="0.2">
      <c r="B67" s="6"/>
      <c r="C67" s="24"/>
      <c r="D67" s="36"/>
    </row>
    <row r="68" spans="2:5" s="7" customFormat="1" x14ac:dyDescent="0.2">
      <c r="B68" s="6"/>
      <c r="C68" s="24"/>
      <c r="D68" s="36"/>
    </row>
    <row r="69" spans="2:5" s="7" customFormat="1" x14ac:dyDescent="0.25">
      <c r="B69" s="6"/>
      <c r="C69" s="24"/>
      <c r="D69" s="36"/>
      <c r="E69" s="27"/>
    </row>
    <row r="70" spans="2:5" s="7" customFormat="1" x14ac:dyDescent="0.25">
      <c r="B70" s="6"/>
      <c r="C70" s="24"/>
      <c r="D70" s="36"/>
      <c r="E70" s="27"/>
    </row>
    <row r="71" spans="2:5" s="7" customFormat="1" x14ac:dyDescent="0.25">
      <c r="B71" s="6"/>
      <c r="C71" s="24"/>
      <c r="D71" s="36"/>
      <c r="E71" s="27"/>
    </row>
    <row r="72" spans="2:5" s="7" customFormat="1" x14ac:dyDescent="0.2">
      <c r="B72" s="6"/>
      <c r="C72" s="24"/>
      <c r="D72" s="36"/>
    </row>
    <row r="73" spans="2:5" s="7" customFormat="1" x14ac:dyDescent="0.2">
      <c r="B73" s="6"/>
      <c r="C73" s="24"/>
      <c r="D73" s="36"/>
    </row>
    <row r="74" spans="2:5" s="7" customFormat="1" x14ac:dyDescent="0.2">
      <c r="B74" s="6"/>
      <c r="C74" s="24"/>
      <c r="D74" s="36"/>
    </row>
    <row r="75" spans="2:5" s="7" customFormat="1" x14ac:dyDescent="0.2">
      <c r="B75" s="6"/>
      <c r="C75" s="24"/>
      <c r="D75" s="36"/>
    </row>
    <row r="76" spans="2:5" s="7" customFormat="1" x14ac:dyDescent="0.2">
      <c r="B76" s="6"/>
      <c r="C76" s="24"/>
      <c r="D76" s="36"/>
    </row>
    <row r="77" spans="2:5" s="7" customFormat="1" x14ac:dyDescent="0.2">
      <c r="B77" s="6"/>
      <c r="C77" s="24"/>
      <c r="D77" s="36"/>
    </row>
    <row r="78" spans="2:5" s="7" customFormat="1" x14ac:dyDescent="0.2">
      <c r="B78" s="6"/>
      <c r="C78" s="24"/>
      <c r="D78" s="36"/>
    </row>
    <row r="79" spans="2:5" s="7" customFormat="1" x14ac:dyDescent="0.2">
      <c r="B79" s="6"/>
      <c r="C79" s="24"/>
      <c r="D79" s="36"/>
    </row>
    <row r="80" spans="2:5" s="7" customFormat="1" x14ac:dyDescent="0.2">
      <c r="B80" s="6"/>
      <c r="C80" s="24"/>
      <c r="D80" s="36"/>
    </row>
    <row r="81" spans="2:4" s="7" customFormat="1" x14ac:dyDescent="0.2">
      <c r="B81" s="6"/>
      <c r="C81" s="24"/>
      <c r="D81" s="36"/>
    </row>
    <row r="82" spans="2:4" s="7" customFormat="1" x14ac:dyDescent="0.2">
      <c r="B82" s="6"/>
      <c r="C82" s="24"/>
      <c r="D82" s="36"/>
    </row>
    <row r="83" spans="2:4" s="7" customFormat="1" x14ac:dyDescent="0.2">
      <c r="B83" s="6"/>
      <c r="C83" s="24"/>
      <c r="D83" s="36"/>
    </row>
    <row r="84" spans="2:4" s="7" customFormat="1" x14ac:dyDescent="0.2">
      <c r="B84" s="6"/>
      <c r="C84" s="24"/>
      <c r="D84" s="36"/>
    </row>
    <row r="85" spans="2:4" s="7" customFormat="1" x14ac:dyDescent="0.2">
      <c r="B85" s="6"/>
      <c r="C85" s="24"/>
      <c r="D85" s="36"/>
    </row>
    <row r="86" spans="2:4" s="7" customFormat="1" x14ac:dyDescent="0.2">
      <c r="B86" s="6"/>
      <c r="C86" s="24"/>
      <c r="D86" s="36"/>
    </row>
    <row r="87" spans="2:4" s="7" customFormat="1" x14ac:dyDescent="0.2">
      <c r="B87" s="6"/>
      <c r="C87" s="24"/>
      <c r="D87" s="36"/>
    </row>
    <row r="88" spans="2:4" s="7" customFormat="1" x14ac:dyDescent="0.2">
      <c r="B88" s="6"/>
      <c r="C88" s="24"/>
      <c r="D88" s="36"/>
    </row>
    <row r="89" spans="2:4" s="7" customFormat="1" x14ac:dyDescent="0.2">
      <c r="B89" s="6"/>
      <c r="C89" s="24"/>
      <c r="D89" s="36"/>
    </row>
    <row r="90" spans="2:4" s="7" customFormat="1" x14ac:dyDescent="0.2">
      <c r="B90" s="6"/>
      <c r="D90" s="36"/>
    </row>
    <row r="91" spans="2:4" x14ac:dyDescent="0.2">
      <c r="D91" s="39"/>
    </row>
  </sheetData>
  <hyperlinks>
    <hyperlink ref="D5" location="Deckblatt!A1" display="Deckblatt" xr:uid="{00000000-0004-0000-0300-000000000000}"/>
    <hyperlink ref="D6" location="'Impressum | Zeichenerklärungen'!A1" display="Impressum und Zeichenerklärungen" xr:uid="{00000000-0004-0000-0300-000001000000}"/>
    <hyperlink ref="D7" location="Erläuterungen!A1" display="Erläuterungen" xr:uid="{00000000-0004-0000-0300-000002000000}"/>
    <hyperlink ref="D11" location="'12.1'!A1" display="Bruttoinlandsprodukt und Bruttowertschöpfung nach Wirtschaftsbereichen in jeweiligen Preisen in Schleswig-Holstein 2000 - 2019" xr:uid="{00000000-0004-0000-0300-000003000000}"/>
    <hyperlink ref="D12" location="'12.2'!A1" display="Bruttoinlandsprodukt zu Marktpreisen und Bruttowertschöpfung nach Wirtschaftsbereichen (preisbereinigt, verkettet) in Schleswig-Holstein 2000 - 2019" xr:uid="{00000000-0004-0000-0300-000004000000}"/>
    <hyperlink ref="D13" location="'Grafik 1'!A1" display="Anteile der Wirtschaftsbereiche an der Bruttowertschöpfung in jeweiligen Preisen in Schleswig-Holstein 2005 und 2018" xr:uid="{00000000-0004-0000-0300-000005000000}"/>
    <hyperlink ref="D14" location="'Grafik 2'!A1" display="Bruttoinlandsprodukt in jeweiligen Preisen und Erwerbstätige in Schleswig-Holstein 2001 - 2018 (Veränderung gegenüber Vorjahr)" xr:uid="{00000000-0004-0000-0300-000006000000}"/>
    <hyperlink ref="D15" location="'12.3'!A1" display="Arbeitnehmerentgelt in Schleswig-Holstein 2000 – 2024 nach Wirtschaftsbereichen" xr:uid="{00000000-0004-0000-0300-000008000000}"/>
    <hyperlink ref="D16" location="'12.4'!A1" display="Primäreinkommen und Verfügbares Einkommen der privaten Haushalte in Schleswig-Holstein 2000 – 2023" xr:uid="{00000000-0004-0000-0300-000009000000}"/>
    <hyperlink ref="D17" location="'12.5'!A1" display="Arbeitsvolumen der Erwerbstätigen und Bruttowertschöpfung je geleisteter Stunde in Schleswig-Holstein 2000 – 2024 nach Wirtschaftsbereichen" xr:uid="{00000000-0004-0000-0300-00000A000000}"/>
    <hyperlink ref="D18" location="'12.6'!A1" display="Verwendung des Bruttoinlandsprodukts in jeweiligen Preisen in Schleswig-Holstein 2000 – 2023" xr:uid="{00000000-0004-0000-0300-00000B000000}"/>
    <hyperlink ref="D19" location="'12.7'!A1" display="Verwendung des Bruttoinlandsprodukts (preisbereinigt, verkettet) in Schleswig-Holstein 2000 – 2023" xr:uid="{00000000-0004-0000-0300-00000C000000}"/>
    <hyperlink ref="D23" location="'12.11'!A1" display="Gewerbeanzeigen in Schleswig-Holstein 2000 – 2024" xr:uid="{00000000-0004-0000-0300-00000D000000}"/>
    <hyperlink ref="D24" location="'Grafik 3'!A1" display="Gewerbeanzeigen in Schleswig-Holstein 1999 - 2017" xr:uid="{00000000-0004-0000-0300-00000E000000}"/>
    <hyperlink ref="D25" location="'12.12'!A1" display="Gewerbeanzeigen in Schleswig-Holstein 2018 nach Wirtschaftszweigen" xr:uid="{00000000-0004-0000-0300-00000F000000}"/>
    <hyperlink ref="D26" location="'12.13'!A1" display="Gewerbeanzeigen in Schleswig-Holstein 2018 nach Kreisen" xr:uid="{00000000-0004-0000-0300-000010000000}"/>
    <hyperlink ref="D27" location="'12.14'!A1" display="Insolvenzverfahren in Schleswig-Holstein 2001 - 2018" xr:uid="{00000000-0004-0000-0300-000011000000}"/>
    <hyperlink ref="D28" location="'Grafik 4'!A1" display="Insolvenzverfahren in Schleswig-Holstein 2001 - 2018" xr:uid="{00000000-0004-0000-0300-000012000000}"/>
    <hyperlink ref="D29" location="'12.15'!A1" display="Unternehmensinsolvenzen in Schleswig-Holstein 2001 - 2019 nach Wirtschaftszweigen" xr:uid="{00000000-0004-0000-0300-000013000000}"/>
    <hyperlink ref="D30" location="'12.16'!A1" display="Insolvenzen übriger Schuldner in den Kreisen Schleswig-Holsteins 2019 nach Personengruppen " xr:uid="{00000000-0004-0000-0300-000014000000}"/>
    <hyperlink ref="D31" location="'12.17'!A1" display="Finanzielle Ergebnisse der Gläubiger in Schleswig-Holstein für in 2015 eröffnete und bis 2018 beendete Verbraucherinsolvenzverfahren nach Kreisen und nach Art des Schuldners" xr:uid="{00000000-0004-0000-0300-000015000000}"/>
    <hyperlink ref="D20" location="'12.8'!A1" display="Rechtliche Einheiten in Schleswig-Holstein im Berichtsjahr 2024 nach Beschäftigtengrößenklassen (Stand: 30.09.2025)" xr:uid="{00000000-0004-0000-0300-000016000000}"/>
    <hyperlink ref="D21" location="'12.9'!A1" display="Niederlassungen in Schleswig-Holstein im Berichtsjahr 2024 nach Beschäftigtengrößenklassen (Stand: 30.09.2025)" xr:uid="{00000000-0004-0000-0300-000017000000}"/>
    <hyperlink ref="D32" location="'12.18'!A1" display="Finanzielle Ergebnisse der Gläubiger in Schleswig-Holstein für in 2011 eröffnete und bis 2018 beendete Regel-, Nachlass- und Gesamtgutinsolvenzverfahren nach Kreisen " xr:uid="{00000000-0004-0000-0300-000018000000}"/>
    <hyperlink ref="D33" location="'12.19'!A1" display="Ausgewählte Entscheidungen über die Restschuldbefreiung bei in 2011 eröffneten und bis 2018 beendeten Insolvenzverfahren natürlicher Personen insgesamt in Schleswig-Holstein nach finanziellen Ergebnissen und Art des Schuldners " xr:uid="{00000000-0004-0000-0300-000019000000}"/>
    <hyperlink ref="D22" location="'12.10'!A1" display="Unternehmensdemografie in Schleswig-Holstein im Berichtsjahr 2023 nach Beschäftigtengrößenklasse" xr:uid="{08FE61C4-114B-4948-9DE8-6F188AE98E1B}"/>
  </hyperlinks>
  <pageMargins left="0.7" right="0.7" top="0.78740157499999996" bottom="0.78740157499999996" header="0.3" footer="0.3"/>
  <pageSetup paperSize="9" orientation="landscape" r:id="rId1"/>
  <ignoredErrors>
    <ignoredError sqref="B26:B33" twoDigitTextYea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43F87-ED7F-4211-8ABD-EDDA8906C8BF}">
  <sheetPr codeName="Tabelle7"/>
  <dimension ref="A1:J129"/>
  <sheetViews>
    <sheetView zoomScaleNormal="100" workbookViewId="0">
      <pane ySplit="5" topLeftCell="A117" activePane="bottomLeft" state="frozen"/>
      <selection pane="bottomLeft"/>
    </sheetView>
  </sheetViews>
  <sheetFormatPr baseColWidth="10" defaultColWidth="11.375" defaultRowHeight="11.4" x14ac:dyDescent="0.2"/>
  <cols>
    <col min="1" max="1" width="2.75" style="9" customWidth="1"/>
    <col min="2" max="5" width="12.75" style="100" customWidth="1"/>
    <col min="6" max="6" width="13.625" style="100" customWidth="1"/>
    <col min="7" max="7" width="12.75" style="100" customWidth="1"/>
    <col min="8" max="8" width="13.75" style="100" customWidth="1"/>
    <col min="9" max="9" width="14.875" style="100" customWidth="1"/>
    <col min="10" max="10" width="12.75" style="100" customWidth="1"/>
    <col min="11" max="16384" width="11.375" style="100"/>
  </cols>
  <sheetData>
    <row r="1" spans="1:10" s="46" customFormat="1" ht="13.8" x14ac:dyDescent="0.2">
      <c r="C1" s="40"/>
      <c r="E1" s="41"/>
    </row>
    <row r="2" spans="1:10" s="95" customFormat="1" ht="20.100000000000001" customHeight="1" x14ac:dyDescent="0.25">
      <c r="A2" s="93"/>
      <c r="B2" s="97" t="s">
        <v>44</v>
      </c>
      <c r="C2" s="97"/>
      <c r="D2" s="97"/>
      <c r="E2" s="97"/>
      <c r="F2" s="97"/>
      <c r="G2" s="97"/>
      <c r="H2" s="97"/>
      <c r="I2" s="97"/>
    </row>
    <row r="3" spans="1:10" s="80" customFormat="1" ht="50.25" customHeight="1" x14ac:dyDescent="0.2">
      <c r="A3" s="65"/>
      <c r="B3" s="381" t="s">
        <v>205</v>
      </c>
      <c r="C3" s="381"/>
      <c r="D3" s="381"/>
      <c r="E3" s="381"/>
      <c r="F3" s="381"/>
      <c r="G3" s="381"/>
      <c r="H3" s="381"/>
      <c r="I3" s="381"/>
      <c r="J3" s="381"/>
    </row>
    <row r="4" spans="1:10" ht="20.100000000000001" customHeight="1" x14ac:dyDescent="0.2">
      <c r="A4" s="20"/>
      <c r="B4" s="382" t="s">
        <v>0</v>
      </c>
      <c r="C4" s="383" t="s">
        <v>13</v>
      </c>
      <c r="D4" s="384" t="s">
        <v>11</v>
      </c>
      <c r="E4" s="385" t="s">
        <v>1</v>
      </c>
      <c r="F4" s="385"/>
      <c r="G4" s="385"/>
      <c r="H4" s="385"/>
      <c r="I4" s="385"/>
      <c r="J4" s="386"/>
    </row>
    <row r="5" spans="1:10" ht="86.25" customHeight="1" x14ac:dyDescent="0.2">
      <c r="A5" s="20"/>
      <c r="B5" s="382"/>
      <c r="C5" s="383"/>
      <c r="D5" s="384"/>
      <c r="E5" s="105" t="s">
        <v>4</v>
      </c>
      <c r="F5" s="105" t="s">
        <v>5</v>
      </c>
      <c r="G5" s="105" t="s">
        <v>2</v>
      </c>
      <c r="H5" s="105" t="s">
        <v>131</v>
      </c>
      <c r="I5" s="105" t="s">
        <v>170</v>
      </c>
      <c r="J5" s="106" t="s">
        <v>171</v>
      </c>
    </row>
    <row r="6" spans="1:10" ht="15" customHeight="1" x14ac:dyDescent="0.2">
      <c r="A6" s="20"/>
      <c r="B6" s="154"/>
      <c r="C6" s="380" t="s">
        <v>7</v>
      </c>
      <c r="D6" s="380"/>
      <c r="E6" s="380"/>
      <c r="F6" s="380"/>
      <c r="G6" s="380"/>
      <c r="H6" s="380"/>
      <c r="I6" s="380"/>
      <c r="J6" s="380"/>
    </row>
    <row r="7" spans="1:10" ht="15" customHeight="1" x14ac:dyDescent="0.2">
      <c r="A7" s="20"/>
      <c r="B7" s="115">
        <v>2000</v>
      </c>
      <c r="C7" s="111">
        <v>64399.133999999998</v>
      </c>
      <c r="D7" s="111">
        <v>57916.432000000001</v>
      </c>
      <c r="E7" s="111">
        <v>1200.4010000000001</v>
      </c>
      <c r="F7" s="111">
        <v>11311.633</v>
      </c>
      <c r="G7" s="111">
        <v>2724.9720000000002</v>
      </c>
      <c r="H7" s="111">
        <v>12921.277</v>
      </c>
      <c r="I7" s="111">
        <v>14826.620999999999</v>
      </c>
      <c r="J7" s="111">
        <v>14931.528</v>
      </c>
    </row>
    <row r="8" spans="1:10" ht="15" customHeight="1" x14ac:dyDescent="0.2">
      <c r="A8" s="20"/>
      <c r="B8" s="115">
        <v>2001</v>
      </c>
      <c r="C8" s="111">
        <v>66343.141000000003</v>
      </c>
      <c r="D8" s="111">
        <v>59755.12</v>
      </c>
      <c r="E8" s="111">
        <v>1338.4380000000001</v>
      </c>
      <c r="F8" s="111">
        <v>11475.797</v>
      </c>
      <c r="G8" s="111">
        <v>2557.681</v>
      </c>
      <c r="H8" s="111">
        <v>13905.032999999999</v>
      </c>
      <c r="I8" s="111">
        <v>15060.712</v>
      </c>
      <c r="J8" s="111">
        <v>15417.459000000001</v>
      </c>
    </row>
    <row r="9" spans="1:10" ht="15" customHeight="1" x14ac:dyDescent="0.2">
      <c r="A9" s="20"/>
      <c r="B9" s="115">
        <v>2002</v>
      </c>
      <c r="C9" s="111">
        <v>65417.1</v>
      </c>
      <c r="D9" s="111">
        <v>58949.035000000003</v>
      </c>
      <c r="E9" s="111">
        <v>1048.702</v>
      </c>
      <c r="F9" s="111">
        <v>11004.807000000001</v>
      </c>
      <c r="G9" s="111">
        <v>2525.23</v>
      </c>
      <c r="H9" s="111">
        <v>13706.16</v>
      </c>
      <c r="I9" s="111">
        <v>14986.242</v>
      </c>
      <c r="J9" s="111">
        <v>15677.894</v>
      </c>
    </row>
    <row r="10" spans="1:10" ht="15" customHeight="1" x14ac:dyDescent="0.2">
      <c r="A10" s="20"/>
      <c r="B10" s="115">
        <v>2003</v>
      </c>
      <c r="C10" s="111">
        <v>66149.09</v>
      </c>
      <c r="D10" s="111">
        <v>59509.826999999997</v>
      </c>
      <c r="E10" s="111">
        <v>1020.385</v>
      </c>
      <c r="F10" s="111">
        <v>11495.24</v>
      </c>
      <c r="G10" s="111">
        <v>2449.0740000000001</v>
      </c>
      <c r="H10" s="111">
        <v>13452.599</v>
      </c>
      <c r="I10" s="111">
        <v>15248.811</v>
      </c>
      <c r="J10" s="111">
        <v>15843.718000000001</v>
      </c>
    </row>
    <row r="11" spans="1:10" ht="15" customHeight="1" x14ac:dyDescent="0.2">
      <c r="A11" s="20"/>
      <c r="B11" s="115">
        <v>2004</v>
      </c>
      <c r="C11" s="111">
        <v>67530.331000000006</v>
      </c>
      <c r="D11" s="111">
        <v>60932.824000000001</v>
      </c>
      <c r="E11" s="111">
        <v>1113.6099999999999</v>
      </c>
      <c r="F11" s="111">
        <v>11923.179</v>
      </c>
      <c r="G11" s="111">
        <v>2300.5410000000002</v>
      </c>
      <c r="H11" s="111">
        <v>13907.153</v>
      </c>
      <c r="I11" s="111">
        <v>15414.644</v>
      </c>
      <c r="J11" s="111">
        <v>16273.697</v>
      </c>
    </row>
    <row r="12" spans="1:10" ht="15" customHeight="1" x14ac:dyDescent="0.2">
      <c r="A12" s="20"/>
      <c r="B12" s="115"/>
      <c r="C12" s="111"/>
      <c r="D12" s="111"/>
      <c r="E12" s="111"/>
      <c r="F12" s="111"/>
      <c r="G12" s="111"/>
      <c r="H12" s="111"/>
      <c r="I12" s="111"/>
      <c r="J12" s="111"/>
    </row>
    <row r="13" spans="1:10" ht="15" customHeight="1" x14ac:dyDescent="0.2">
      <c r="A13" s="20"/>
      <c r="B13" s="115">
        <v>2005</v>
      </c>
      <c r="C13" s="111">
        <v>68106.017000000007</v>
      </c>
      <c r="D13" s="111">
        <v>61354.92</v>
      </c>
      <c r="E13" s="111">
        <v>800.74400000000003</v>
      </c>
      <c r="F13" s="111">
        <v>11874.288</v>
      </c>
      <c r="G13" s="111">
        <v>2388.92</v>
      </c>
      <c r="H13" s="111">
        <v>14053.428</v>
      </c>
      <c r="I13" s="111">
        <v>15714.741</v>
      </c>
      <c r="J13" s="111">
        <v>16522.798999999999</v>
      </c>
    </row>
    <row r="14" spans="1:10" ht="15" customHeight="1" x14ac:dyDescent="0.2">
      <c r="A14" s="20"/>
      <c r="B14" s="115">
        <v>2006</v>
      </c>
      <c r="C14" s="111">
        <v>70063.600000000006</v>
      </c>
      <c r="D14" s="111">
        <v>63094.983999999997</v>
      </c>
      <c r="E14" s="111">
        <v>908.32100000000003</v>
      </c>
      <c r="F14" s="111">
        <v>12857.206</v>
      </c>
      <c r="G14" s="111">
        <v>2539.6860000000001</v>
      </c>
      <c r="H14" s="111">
        <v>14129.272000000001</v>
      </c>
      <c r="I14" s="111">
        <v>15974.686</v>
      </c>
      <c r="J14" s="111">
        <v>16685.812999999998</v>
      </c>
    </row>
    <row r="15" spans="1:10" ht="15" customHeight="1" x14ac:dyDescent="0.2">
      <c r="A15" s="20"/>
      <c r="B15" s="115">
        <v>2007</v>
      </c>
      <c r="C15" s="111">
        <v>71754.767000000007</v>
      </c>
      <c r="D15" s="111">
        <v>64231.809000000001</v>
      </c>
      <c r="E15" s="111">
        <v>1023.0839999999999</v>
      </c>
      <c r="F15" s="111">
        <v>12922.13</v>
      </c>
      <c r="G15" s="111">
        <v>2512.355</v>
      </c>
      <c r="H15" s="111">
        <v>14504.669</v>
      </c>
      <c r="I15" s="111">
        <v>16344.255999999999</v>
      </c>
      <c r="J15" s="111">
        <v>16925.314999999999</v>
      </c>
    </row>
    <row r="16" spans="1:10" ht="15" customHeight="1" x14ac:dyDescent="0.2">
      <c r="A16" s="20"/>
      <c r="B16" s="115">
        <v>2008</v>
      </c>
      <c r="C16" s="111">
        <v>73974.327999999994</v>
      </c>
      <c r="D16" s="111">
        <v>66193.467000000004</v>
      </c>
      <c r="E16" s="111">
        <v>1167.866</v>
      </c>
      <c r="F16" s="111">
        <v>13207.612999999999</v>
      </c>
      <c r="G16" s="111">
        <v>2627.384</v>
      </c>
      <c r="H16" s="111">
        <v>15434.171</v>
      </c>
      <c r="I16" s="111">
        <v>16537.59</v>
      </c>
      <c r="J16" s="111">
        <v>17218.843000000001</v>
      </c>
    </row>
    <row r="17" spans="1:10" ht="15" customHeight="1" x14ac:dyDescent="0.2">
      <c r="A17" s="20"/>
      <c r="B17" s="115">
        <v>2009</v>
      </c>
      <c r="C17" s="111">
        <v>72039.316999999995</v>
      </c>
      <c r="D17" s="111">
        <v>64236.605000000003</v>
      </c>
      <c r="E17" s="111">
        <v>808.31500000000005</v>
      </c>
      <c r="F17" s="111">
        <v>11447.338</v>
      </c>
      <c r="G17" s="111">
        <v>2734.82</v>
      </c>
      <c r="H17" s="111">
        <v>15161.567999999999</v>
      </c>
      <c r="I17" s="111">
        <v>16371.254000000001</v>
      </c>
      <c r="J17" s="111">
        <v>17713.310000000001</v>
      </c>
    </row>
    <row r="18" spans="1:10" ht="15" customHeight="1" x14ac:dyDescent="0.2">
      <c r="A18" s="20"/>
      <c r="B18" s="115"/>
      <c r="C18" s="111"/>
      <c r="D18" s="111"/>
      <c r="E18" s="111"/>
      <c r="F18" s="111"/>
      <c r="G18" s="111"/>
      <c r="H18" s="111"/>
      <c r="I18" s="111"/>
      <c r="J18" s="111"/>
    </row>
    <row r="19" spans="1:10" ht="15" customHeight="1" x14ac:dyDescent="0.2">
      <c r="A19" s="20"/>
      <c r="B19" s="115">
        <v>2010</v>
      </c>
      <c r="C19" s="111">
        <v>73666.100999999995</v>
      </c>
      <c r="D19" s="111">
        <v>65947.725999999995</v>
      </c>
      <c r="E19" s="111">
        <v>955.68100000000004</v>
      </c>
      <c r="F19" s="111">
        <v>11954.204</v>
      </c>
      <c r="G19" s="111">
        <v>2958.9639999999999</v>
      </c>
      <c r="H19" s="111">
        <v>14679.852999999999</v>
      </c>
      <c r="I19" s="111">
        <v>17341.557000000001</v>
      </c>
      <c r="J19" s="111">
        <v>18057.467000000001</v>
      </c>
    </row>
    <row r="20" spans="1:10" ht="15" customHeight="1" x14ac:dyDescent="0.2">
      <c r="A20" s="20"/>
      <c r="B20" s="115">
        <v>2011</v>
      </c>
      <c r="C20" s="111">
        <v>76633.493000000002</v>
      </c>
      <c r="D20" s="111">
        <v>68396.58</v>
      </c>
      <c r="E20" s="111">
        <v>1165.153</v>
      </c>
      <c r="F20" s="111">
        <v>12845.513000000001</v>
      </c>
      <c r="G20" s="111">
        <v>3052.2249999999999</v>
      </c>
      <c r="H20" s="111">
        <v>15289.245000000001</v>
      </c>
      <c r="I20" s="111">
        <v>17279.784</v>
      </c>
      <c r="J20" s="111">
        <v>18764.66</v>
      </c>
    </row>
    <row r="21" spans="1:10" ht="15" customHeight="1" x14ac:dyDescent="0.2">
      <c r="A21" s="20"/>
      <c r="B21" s="115">
        <v>2012</v>
      </c>
      <c r="C21" s="111">
        <v>79364.194000000003</v>
      </c>
      <c r="D21" s="111">
        <v>70856.967999999993</v>
      </c>
      <c r="E21" s="111">
        <v>1137.8689999999999</v>
      </c>
      <c r="F21" s="111">
        <v>13768.255999999999</v>
      </c>
      <c r="G21" s="111">
        <v>3336.078</v>
      </c>
      <c r="H21" s="111">
        <v>15759.047</v>
      </c>
      <c r="I21" s="111">
        <v>17776.66</v>
      </c>
      <c r="J21" s="111">
        <v>19079.058000000001</v>
      </c>
    </row>
    <row r="22" spans="1:10" ht="15" customHeight="1" x14ac:dyDescent="0.2">
      <c r="A22" s="20"/>
      <c r="B22" s="115">
        <v>2013</v>
      </c>
      <c r="C22" s="111">
        <v>80405.153000000006</v>
      </c>
      <c r="D22" s="111">
        <v>71696.838000000003</v>
      </c>
      <c r="E22" s="111">
        <v>1176.165</v>
      </c>
      <c r="F22" s="111">
        <v>13655.517</v>
      </c>
      <c r="G22" s="111">
        <v>3499.922</v>
      </c>
      <c r="H22" s="111">
        <v>15721.566000000001</v>
      </c>
      <c r="I22" s="111">
        <v>18335.722000000002</v>
      </c>
      <c r="J22" s="111">
        <v>19307.946</v>
      </c>
    </row>
    <row r="23" spans="1:10" ht="15" customHeight="1" x14ac:dyDescent="0.2">
      <c r="A23" s="20"/>
      <c r="B23" s="115">
        <v>2014</v>
      </c>
      <c r="C23" s="111">
        <v>83147.900999999998</v>
      </c>
      <c r="D23" s="111">
        <v>74168.467000000004</v>
      </c>
      <c r="E23" s="111">
        <v>1254.0640000000001</v>
      </c>
      <c r="F23" s="111">
        <v>14075.509</v>
      </c>
      <c r="G23" s="111">
        <v>3563.9059999999999</v>
      </c>
      <c r="H23" s="111">
        <v>16523.401000000002</v>
      </c>
      <c r="I23" s="111">
        <v>18836.339</v>
      </c>
      <c r="J23" s="111">
        <v>19915.248</v>
      </c>
    </row>
    <row r="24" spans="1:10" ht="15" customHeight="1" x14ac:dyDescent="0.2">
      <c r="A24" s="20"/>
      <c r="B24" s="115"/>
      <c r="C24" s="111"/>
      <c r="D24" s="111"/>
      <c r="E24" s="111"/>
      <c r="F24" s="111"/>
      <c r="G24" s="111"/>
      <c r="H24" s="111"/>
      <c r="I24" s="111"/>
      <c r="J24" s="111"/>
    </row>
    <row r="25" spans="1:10" ht="15" customHeight="1" x14ac:dyDescent="0.2">
      <c r="A25" s="20"/>
      <c r="B25" s="115">
        <v>2015</v>
      </c>
      <c r="C25" s="111">
        <v>85222.933000000005</v>
      </c>
      <c r="D25" s="111">
        <v>76006.073999999993</v>
      </c>
      <c r="E25" s="111">
        <v>871.53499999999997</v>
      </c>
      <c r="F25" s="111">
        <v>14005.222</v>
      </c>
      <c r="G25" s="111">
        <v>3636.0210000000002</v>
      </c>
      <c r="H25" s="111">
        <v>17211.792000000001</v>
      </c>
      <c r="I25" s="111">
        <v>19627.617999999999</v>
      </c>
      <c r="J25" s="111">
        <v>20653.885999999999</v>
      </c>
    </row>
    <row r="26" spans="1:10" ht="15" customHeight="1" x14ac:dyDescent="0.2">
      <c r="A26" s="20"/>
      <c r="B26" s="115">
        <v>2016</v>
      </c>
      <c r="C26" s="111">
        <v>87838.857000000004</v>
      </c>
      <c r="D26" s="111">
        <v>78410.410999999993</v>
      </c>
      <c r="E26" s="111">
        <v>852.88</v>
      </c>
      <c r="F26" s="111">
        <v>14848.692999999999</v>
      </c>
      <c r="G26" s="111">
        <v>3823.9989999999998</v>
      </c>
      <c r="H26" s="111">
        <v>17585.294999999998</v>
      </c>
      <c r="I26" s="111">
        <v>19929.238000000001</v>
      </c>
      <c r="J26" s="111">
        <v>21370.306</v>
      </c>
    </row>
    <row r="27" spans="1:10" ht="15" customHeight="1" x14ac:dyDescent="0.2">
      <c r="A27" s="20"/>
      <c r="B27" s="115">
        <v>2017</v>
      </c>
      <c r="C27" s="111">
        <v>93295.354000000007</v>
      </c>
      <c r="D27" s="111">
        <v>83330.585000000006</v>
      </c>
      <c r="E27" s="111">
        <v>1296.729</v>
      </c>
      <c r="F27" s="111">
        <v>15945.486999999999</v>
      </c>
      <c r="G27" s="111">
        <v>4117.9949999999999</v>
      </c>
      <c r="H27" s="111">
        <v>19359.883999999998</v>
      </c>
      <c r="I27" s="111">
        <v>20262.28</v>
      </c>
      <c r="J27" s="111">
        <v>22348.21</v>
      </c>
    </row>
    <row r="28" spans="1:10" ht="15" customHeight="1" x14ac:dyDescent="0.2">
      <c r="A28" s="20"/>
      <c r="B28" s="115">
        <v>2018</v>
      </c>
      <c r="C28" s="111">
        <v>95818.945000000007</v>
      </c>
      <c r="D28" s="111">
        <v>85633.812999999995</v>
      </c>
      <c r="E28" s="111">
        <v>1039.9110000000001</v>
      </c>
      <c r="F28" s="111">
        <v>16200.582</v>
      </c>
      <c r="G28" s="111">
        <v>4573.2150000000001</v>
      </c>
      <c r="H28" s="111">
        <v>20032.217000000001</v>
      </c>
      <c r="I28" s="111">
        <v>20781.093000000001</v>
      </c>
      <c r="J28" s="111">
        <v>23006.794999999998</v>
      </c>
    </row>
    <row r="29" spans="1:10" ht="15" customHeight="1" x14ac:dyDescent="0.2">
      <c r="A29" s="20"/>
      <c r="B29" s="115">
        <v>2019</v>
      </c>
      <c r="C29" s="111">
        <v>100226.246</v>
      </c>
      <c r="D29" s="111">
        <v>89576.47</v>
      </c>
      <c r="E29" s="111">
        <v>1484.204</v>
      </c>
      <c r="F29" s="111">
        <v>16957.749</v>
      </c>
      <c r="G29" s="111">
        <v>4870.5519999999997</v>
      </c>
      <c r="H29" s="111">
        <v>20806.194</v>
      </c>
      <c r="I29" s="111">
        <v>21199.907999999999</v>
      </c>
      <c r="J29" s="111">
        <v>24257.863000000001</v>
      </c>
    </row>
    <row r="30" spans="1:10" ht="15" customHeight="1" x14ac:dyDescent="0.2">
      <c r="A30" s="20"/>
      <c r="B30" s="115"/>
      <c r="C30" s="111"/>
      <c r="D30" s="111"/>
      <c r="E30" s="111"/>
      <c r="F30" s="111"/>
      <c r="G30" s="111"/>
      <c r="H30" s="111"/>
      <c r="I30" s="111"/>
      <c r="J30" s="111"/>
    </row>
    <row r="31" spans="1:10" ht="15" customHeight="1" x14ac:dyDescent="0.2">
      <c r="A31" s="20"/>
      <c r="B31" s="115">
        <v>2020</v>
      </c>
      <c r="C31" s="111">
        <v>99888.267000000007</v>
      </c>
      <c r="D31" s="111">
        <v>89735.519</v>
      </c>
      <c r="E31" s="111">
        <v>1443.838</v>
      </c>
      <c r="F31" s="111">
        <v>17325.337</v>
      </c>
      <c r="G31" s="111">
        <v>5275.4279999999999</v>
      </c>
      <c r="H31" s="111">
        <v>19899.258000000002</v>
      </c>
      <c r="I31" s="111">
        <v>21356.205999999998</v>
      </c>
      <c r="J31" s="111">
        <v>24435.452000000001</v>
      </c>
    </row>
    <row r="32" spans="1:10" ht="15" customHeight="1" x14ac:dyDescent="0.2">
      <c r="A32" s="20"/>
      <c r="B32" s="115">
        <v>2021</v>
      </c>
      <c r="C32" s="111">
        <v>105676.333</v>
      </c>
      <c r="D32" s="111">
        <v>94517.406000000003</v>
      </c>
      <c r="E32" s="111">
        <v>1384.549</v>
      </c>
      <c r="F32" s="111">
        <v>17504.054</v>
      </c>
      <c r="G32" s="111">
        <v>5399.1620000000003</v>
      </c>
      <c r="H32" s="111">
        <v>22391.668000000001</v>
      </c>
      <c r="I32" s="111">
        <v>22460.864000000001</v>
      </c>
      <c r="J32" s="111">
        <v>25377.109</v>
      </c>
    </row>
    <row r="33" spans="1:10" ht="15" customHeight="1" x14ac:dyDescent="0.2">
      <c r="A33" s="20"/>
      <c r="B33" s="115">
        <v>2022</v>
      </c>
      <c r="C33" s="111">
        <v>117110.932</v>
      </c>
      <c r="D33" s="111">
        <v>105528.891</v>
      </c>
      <c r="E33" s="111">
        <v>2283.223</v>
      </c>
      <c r="F33" s="111">
        <v>19425.5</v>
      </c>
      <c r="G33" s="111">
        <v>5910.4290000000001</v>
      </c>
      <c r="H33" s="111">
        <v>26201.649000000001</v>
      </c>
      <c r="I33" s="111">
        <v>23885.278999999999</v>
      </c>
      <c r="J33" s="111">
        <v>27822.811000000002</v>
      </c>
    </row>
    <row r="34" spans="1:10" ht="15" customHeight="1" x14ac:dyDescent="0.2">
      <c r="A34" s="20"/>
      <c r="B34" s="115">
        <v>2023</v>
      </c>
      <c r="C34" s="111">
        <v>122223.094</v>
      </c>
      <c r="D34" s="111">
        <v>111573.53200000001</v>
      </c>
      <c r="E34" s="111">
        <v>1719.481</v>
      </c>
      <c r="F34" s="111">
        <v>23163.865000000002</v>
      </c>
      <c r="G34" s="111">
        <v>6856.27</v>
      </c>
      <c r="H34" s="111">
        <v>24672.107</v>
      </c>
      <c r="I34" s="111">
        <v>25615.772000000001</v>
      </c>
      <c r="J34" s="111">
        <v>29546.037</v>
      </c>
    </row>
    <row r="35" spans="1:10" ht="15" customHeight="1" x14ac:dyDescent="0.2">
      <c r="A35" s="20"/>
      <c r="B35" s="115">
        <v>2024</v>
      </c>
      <c r="C35" s="111">
        <v>126828.986</v>
      </c>
      <c r="D35" s="111">
        <v>114873.962</v>
      </c>
      <c r="E35" s="111">
        <v>1814.4259999999999</v>
      </c>
      <c r="F35" s="111">
        <v>22402.843000000001</v>
      </c>
      <c r="G35" s="111">
        <v>7044.7160000000003</v>
      </c>
      <c r="H35" s="111">
        <v>25204.258999999998</v>
      </c>
      <c r="I35" s="111">
        <v>26704.857</v>
      </c>
      <c r="J35" s="111">
        <v>31702.861000000001</v>
      </c>
    </row>
    <row r="36" spans="1:10" s="101" customFormat="1" ht="15" customHeight="1" x14ac:dyDescent="0.2">
      <c r="A36" s="20"/>
      <c r="B36" s="115"/>
      <c r="C36" s="380" t="s">
        <v>8</v>
      </c>
      <c r="D36" s="380"/>
      <c r="E36" s="380"/>
      <c r="F36" s="380"/>
      <c r="G36" s="380"/>
      <c r="H36" s="380"/>
      <c r="I36" s="380"/>
      <c r="J36" s="380"/>
    </row>
    <row r="37" spans="1:10" ht="15" customHeight="1" x14ac:dyDescent="0.2">
      <c r="A37" s="20"/>
      <c r="B37" s="115">
        <v>2001</v>
      </c>
      <c r="C37" s="357">
        <v>3.0186850028138679</v>
      </c>
      <c r="D37" s="357">
        <v>3.1747259568752497</v>
      </c>
      <c r="E37" s="357">
        <v>11.499240670409307</v>
      </c>
      <c r="F37" s="357">
        <v>1.4512847084059359</v>
      </c>
      <c r="G37" s="357">
        <v>-6.1391823475617429</v>
      </c>
      <c r="H37" s="357">
        <v>7.6134580196678741</v>
      </c>
      <c r="I37" s="357">
        <v>1.5788560319981286</v>
      </c>
      <c r="J37" s="357">
        <v>3.2543956653331207</v>
      </c>
    </row>
    <row r="38" spans="1:10" ht="15" customHeight="1" x14ac:dyDescent="0.2">
      <c r="A38" s="20"/>
      <c r="B38" s="115">
        <v>2002</v>
      </c>
      <c r="C38" s="357">
        <v>-1.3958353283273084</v>
      </c>
      <c r="D38" s="357">
        <v>-1.3489806396506339</v>
      </c>
      <c r="E38" s="357">
        <v>-21.647323223040601</v>
      </c>
      <c r="F38" s="357">
        <v>-4.1042029586267432</v>
      </c>
      <c r="G38" s="357">
        <v>-1.2687665115391695</v>
      </c>
      <c r="H38" s="357">
        <v>-1.4302231429439871</v>
      </c>
      <c r="I38" s="357">
        <v>-0.49446533470661791</v>
      </c>
      <c r="J38" s="357">
        <v>1.6892212912646585</v>
      </c>
    </row>
    <row r="39" spans="1:10" ht="15" customHeight="1" x14ac:dyDescent="0.2">
      <c r="A39" s="20"/>
      <c r="B39" s="115">
        <v>2003</v>
      </c>
      <c r="C39" s="357">
        <v>1.1189581928883996</v>
      </c>
      <c r="D39" s="357">
        <v>0.95131667549773624</v>
      </c>
      <c r="E39" s="357">
        <v>-2.7001950983215437</v>
      </c>
      <c r="F39" s="357">
        <v>4.4565343126871682</v>
      </c>
      <c r="G39" s="357">
        <v>-3.0158045009761452</v>
      </c>
      <c r="H39" s="357">
        <v>-1.8499784038709635</v>
      </c>
      <c r="I39" s="357">
        <v>1.7520669958485797</v>
      </c>
      <c r="J39" s="357">
        <v>1.0576930804609361</v>
      </c>
    </row>
    <row r="40" spans="1:10" ht="15" customHeight="1" x14ac:dyDescent="0.2">
      <c r="A40" s="20"/>
      <c r="B40" s="115">
        <v>2004</v>
      </c>
      <c r="C40" s="357">
        <v>2.0880725645659055</v>
      </c>
      <c r="D40" s="357">
        <v>2.3911966674008482</v>
      </c>
      <c r="E40" s="357">
        <v>9.1362573930428113</v>
      </c>
      <c r="F40" s="357">
        <v>3.722749590265181</v>
      </c>
      <c r="G40" s="357">
        <v>-6.0648636995043859</v>
      </c>
      <c r="H40" s="357">
        <v>3.3789307181459947</v>
      </c>
      <c r="I40" s="357">
        <v>1.0875142986558046</v>
      </c>
      <c r="J40" s="357">
        <v>2.7138768816763701</v>
      </c>
    </row>
    <row r="41" spans="1:10" ht="15" customHeight="1" x14ac:dyDescent="0.2">
      <c r="A41" s="20"/>
      <c r="B41" s="115">
        <v>2005</v>
      </c>
      <c r="C41" s="357">
        <v>0.85248508555363856</v>
      </c>
      <c r="D41" s="357">
        <v>0.69272351466919702</v>
      </c>
      <c r="E41" s="357">
        <v>-28.094754896238342</v>
      </c>
      <c r="F41" s="357">
        <v>-0.41005003782967719</v>
      </c>
      <c r="G41" s="357">
        <v>3.8416615917734021</v>
      </c>
      <c r="H41" s="357">
        <v>1.0517968702868217</v>
      </c>
      <c r="I41" s="357">
        <v>1.9468305593045159</v>
      </c>
      <c r="J41" s="357">
        <v>1.5307031954693429</v>
      </c>
    </row>
    <row r="42" spans="1:10" ht="15" customHeight="1" x14ac:dyDescent="0.2">
      <c r="A42" s="20"/>
      <c r="B42" s="115"/>
      <c r="C42" s="357"/>
      <c r="D42" s="357"/>
      <c r="E42" s="357"/>
      <c r="F42" s="357"/>
      <c r="G42" s="357"/>
      <c r="H42" s="357"/>
      <c r="I42" s="357"/>
      <c r="J42" s="357"/>
    </row>
    <row r="43" spans="1:10" ht="15" customHeight="1" x14ac:dyDescent="0.2">
      <c r="A43" s="20"/>
      <c r="B43" s="115">
        <v>2006</v>
      </c>
      <c r="C43" s="357">
        <v>2.8743172574605325</v>
      </c>
      <c r="D43" s="357">
        <v>2.8360626988023085</v>
      </c>
      <c r="E43" s="357">
        <v>13.434630793362174</v>
      </c>
      <c r="F43" s="357">
        <v>8.2777005240230039</v>
      </c>
      <c r="G43" s="357">
        <v>6.3110526932672428</v>
      </c>
      <c r="H43" s="357">
        <v>0.53968327158328577</v>
      </c>
      <c r="I43" s="357">
        <v>1.6541475293802108</v>
      </c>
      <c r="J43" s="357">
        <v>0.98660039379525699</v>
      </c>
    </row>
    <row r="44" spans="1:10" ht="15" customHeight="1" x14ac:dyDescent="0.2">
      <c r="A44" s="20"/>
      <c r="B44" s="115">
        <v>2007</v>
      </c>
      <c r="C44" s="357">
        <v>2.4137597839677198</v>
      </c>
      <c r="D44" s="357">
        <v>1.8017676333827239</v>
      </c>
      <c r="E44" s="357">
        <v>12.634630268374281</v>
      </c>
      <c r="F44" s="357">
        <v>0.50496196452013464</v>
      </c>
      <c r="G44" s="357">
        <v>-1.076156658736565</v>
      </c>
      <c r="H44" s="357">
        <v>2.6568743244520903</v>
      </c>
      <c r="I44" s="357">
        <v>2.3134727030002296</v>
      </c>
      <c r="J44" s="357">
        <v>1.4353630835968261</v>
      </c>
    </row>
    <row r="45" spans="1:10" ht="15" customHeight="1" x14ac:dyDescent="0.2">
      <c r="A45" s="20"/>
      <c r="B45" s="115">
        <v>2008</v>
      </c>
      <c r="C45" s="357">
        <v>3.093259295232599</v>
      </c>
      <c r="D45" s="357">
        <v>3.0540288846605534</v>
      </c>
      <c r="E45" s="357">
        <v>14.151526169894169</v>
      </c>
      <c r="F45" s="357">
        <v>2.2092565234988513</v>
      </c>
      <c r="G45" s="357">
        <v>4.5785328904553779</v>
      </c>
      <c r="H45" s="357">
        <v>6.4082951496514795</v>
      </c>
      <c r="I45" s="357">
        <v>1.1828865137697306</v>
      </c>
      <c r="J45" s="357">
        <v>1.7342542812349535</v>
      </c>
    </row>
    <row r="46" spans="1:10" ht="15" customHeight="1" x14ac:dyDescent="0.2">
      <c r="A46" s="20"/>
      <c r="B46" s="115">
        <v>2009</v>
      </c>
      <c r="C46" s="357">
        <v>-2.6157871957958179</v>
      </c>
      <c r="D46" s="357">
        <v>-2.9562766367865407</v>
      </c>
      <c r="E46" s="357">
        <v>-30.787008098531857</v>
      </c>
      <c r="F46" s="357">
        <v>-13.327729999357175</v>
      </c>
      <c r="G46" s="357">
        <v>4.0890863307380982</v>
      </c>
      <c r="H46" s="357">
        <v>-1.7662302691864795</v>
      </c>
      <c r="I46" s="357">
        <v>-1.0058055617535473</v>
      </c>
      <c r="J46" s="357">
        <v>2.8716621668482674</v>
      </c>
    </row>
    <row r="47" spans="1:10" ht="15" customHeight="1" x14ac:dyDescent="0.2">
      <c r="A47" s="20"/>
      <c r="B47" s="115">
        <v>2010</v>
      </c>
      <c r="C47" s="357">
        <v>2.2581890941581264</v>
      </c>
      <c r="D47" s="357">
        <v>2.6637786975198878</v>
      </c>
      <c r="E47" s="357">
        <v>18.231258853293582</v>
      </c>
      <c r="F47" s="357">
        <v>4.4278067092978262</v>
      </c>
      <c r="G47" s="357">
        <v>8.1959324562494089</v>
      </c>
      <c r="H47" s="357">
        <v>-3.1772109586554649</v>
      </c>
      <c r="I47" s="357">
        <v>5.926870354586157</v>
      </c>
      <c r="J47" s="357">
        <v>1.9429287919649028</v>
      </c>
    </row>
    <row r="48" spans="1:10" ht="15" customHeight="1" x14ac:dyDescent="0.2">
      <c r="A48" s="20"/>
      <c r="B48" s="115"/>
      <c r="C48" s="357"/>
      <c r="D48" s="357"/>
      <c r="E48" s="357"/>
      <c r="F48" s="357"/>
      <c r="G48" s="357"/>
      <c r="H48" s="357"/>
      <c r="I48" s="357"/>
      <c r="J48" s="357"/>
    </row>
    <row r="49" spans="1:10" ht="15" customHeight="1" x14ac:dyDescent="0.2">
      <c r="A49" s="20"/>
      <c r="B49" s="115">
        <v>2011</v>
      </c>
      <c r="C49" s="357">
        <v>4.0281648678542155</v>
      </c>
      <c r="D49" s="357">
        <v>3.7133259151346749</v>
      </c>
      <c r="E49" s="357">
        <v>21.91861091724121</v>
      </c>
      <c r="F49" s="357">
        <v>7.4560296946580564</v>
      </c>
      <c r="G49" s="357">
        <v>3.1518125938673194</v>
      </c>
      <c r="H49" s="357">
        <v>4.1512132308136955</v>
      </c>
      <c r="I49" s="357">
        <v>-0.35621368946284804</v>
      </c>
      <c r="J49" s="357">
        <v>3.9163466282397223</v>
      </c>
    </row>
    <row r="50" spans="1:10" ht="15" customHeight="1" x14ac:dyDescent="0.2">
      <c r="A50" s="20"/>
      <c r="B50" s="115">
        <v>2012</v>
      </c>
      <c r="C50" s="357">
        <v>3.5633257641016058</v>
      </c>
      <c r="D50" s="357">
        <v>3.5972383414492128</v>
      </c>
      <c r="E50" s="357">
        <v>-2.3416667167316234</v>
      </c>
      <c r="F50" s="357">
        <v>7.1833876934303618</v>
      </c>
      <c r="G50" s="357">
        <v>9.2998714052863107</v>
      </c>
      <c r="H50" s="357">
        <v>3.0727612776170332</v>
      </c>
      <c r="I50" s="357">
        <v>2.8754757582617998</v>
      </c>
      <c r="J50" s="357">
        <v>1.6754793318930439</v>
      </c>
    </row>
    <row r="51" spans="1:10" ht="15" customHeight="1" x14ac:dyDescent="0.2">
      <c r="A51" s="20"/>
      <c r="B51" s="115">
        <v>2013</v>
      </c>
      <c r="C51" s="357">
        <v>1.3116229719412331</v>
      </c>
      <c r="D51" s="357">
        <v>1.1853033282485512</v>
      </c>
      <c r="E51" s="357">
        <v>3.365589536229578</v>
      </c>
      <c r="F51" s="357">
        <v>-0.81883282821004855</v>
      </c>
      <c r="G51" s="357">
        <v>4.9112760552960708</v>
      </c>
      <c r="H51" s="357">
        <v>-0.23783798601526485</v>
      </c>
      <c r="I51" s="357">
        <v>3.1449214869385003</v>
      </c>
      <c r="J51" s="357">
        <v>1.199681871086085</v>
      </c>
    </row>
    <row r="52" spans="1:10" ht="15" customHeight="1" x14ac:dyDescent="0.2">
      <c r="A52" s="20"/>
      <c r="B52" s="115">
        <v>2014</v>
      </c>
      <c r="C52" s="357">
        <v>3.4111594812834767</v>
      </c>
      <c r="D52" s="357">
        <v>3.447333339860819</v>
      </c>
      <c r="E52" s="357">
        <v>6.6231353594096163</v>
      </c>
      <c r="F52" s="357">
        <v>3.0756213770595338</v>
      </c>
      <c r="G52" s="357">
        <v>1.8281550274548835</v>
      </c>
      <c r="H52" s="357">
        <v>5.1002234764653878</v>
      </c>
      <c r="I52" s="357">
        <v>2.7302824508355741</v>
      </c>
      <c r="J52" s="357">
        <v>3.1453475165095313</v>
      </c>
    </row>
    <row r="53" spans="1:10" ht="15" customHeight="1" x14ac:dyDescent="0.2">
      <c r="A53" s="20"/>
      <c r="B53" s="115">
        <v>2015</v>
      </c>
      <c r="C53" s="357">
        <v>2.4955915603930947</v>
      </c>
      <c r="D53" s="357">
        <v>2.4776122176018447</v>
      </c>
      <c r="E53" s="357">
        <v>-30.503148164686976</v>
      </c>
      <c r="F53" s="357">
        <v>-0.49935671953319627</v>
      </c>
      <c r="G53" s="357">
        <v>2.0234821008186117</v>
      </c>
      <c r="H53" s="357">
        <v>4.1661580445817492</v>
      </c>
      <c r="I53" s="357">
        <v>4.200810996234452</v>
      </c>
      <c r="J53" s="357">
        <v>3.7089068637257157</v>
      </c>
    </row>
    <row r="54" spans="1:10" ht="15" customHeight="1" x14ac:dyDescent="0.2">
      <c r="B54" s="115"/>
      <c r="C54" s="357"/>
      <c r="D54" s="357"/>
      <c r="E54" s="357"/>
      <c r="F54" s="357"/>
      <c r="G54" s="357"/>
      <c r="H54" s="357"/>
      <c r="I54" s="357"/>
      <c r="J54" s="357"/>
    </row>
    <row r="55" spans="1:10" ht="15" customHeight="1" x14ac:dyDescent="0.2">
      <c r="B55" s="115">
        <v>2016</v>
      </c>
      <c r="C55" s="357">
        <v>3.0695071243323753</v>
      </c>
      <c r="D55" s="357">
        <v>3.1633484976477035</v>
      </c>
      <c r="E55" s="357">
        <v>-2.1404762860929196</v>
      </c>
      <c r="F55" s="357">
        <v>6.0225464473179926</v>
      </c>
      <c r="G55" s="357">
        <v>5.1698821321438828</v>
      </c>
      <c r="H55" s="357">
        <v>2.1700413298045618</v>
      </c>
      <c r="I55" s="357">
        <v>1.5367121980874145</v>
      </c>
      <c r="J55" s="357">
        <v>3.4686934942896528</v>
      </c>
    </row>
    <row r="56" spans="1:10" ht="15" customHeight="1" x14ac:dyDescent="0.2">
      <c r="B56" s="115">
        <v>2017</v>
      </c>
      <c r="C56" s="357">
        <v>6.2119398935257095</v>
      </c>
      <c r="D56" s="357">
        <v>6.2748988779054002</v>
      </c>
      <c r="E56" s="357">
        <v>52.041201575837164</v>
      </c>
      <c r="F56" s="357">
        <v>7.3864682905088017</v>
      </c>
      <c r="G56" s="357">
        <v>7.6881819268258198</v>
      </c>
      <c r="H56" s="357">
        <v>10.091323460880247</v>
      </c>
      <c r="I56" s="357">
        <v>1.6711225988670435</v>
      </c>
      <c r="J56" s="357">
        <v>4.5759943727525467</v>
      </c>
    </row>
    <row r="57" spans="1:10" ht="15" customHeight="1" x14ac:dyDescent="0.2">
      <c r="B57" s="115">
        <v>2018</v>
      </c>
      <c r="C57" s="357">
        <v>2.7049482013863155</v>
      </c>
      <c r="D57" s="357">
        <v>2.7639647555576232</v>
      </c>
      <c r="E57" s="357">
        <v>-19.80506335556619</v>
      </c>
      <c r="F57" s="357">
        <v>1.5997943493353404</v>
      </c>
      <c r="G57" s="357">
        <v>11.05440875960268</v>
      </c>
      <c r="H57" s="357">
        <v>3.4728152296780337</v>
      </c>
      <c r="I57" s="357">
        <v>2.560486776414109</v>
      </c>
      <c r="J57" s="357">
        <v>2.9469250557427245</v>
      </c>
    </row>
    <row r="58" spans="1:10" ht="15" customHeight="1" x14ac:dyDescent="0.2">
      <c r="B58" s="115">
        <v>2019</v>
      </c>
      <c r="C58" s="357">
        <v>4.5996133645595734</v>
      </c>
      <c r="D58" s="357">
        <v>4.6040890413229647</v>
      </c>
      <c r="E58" s="357">
        <v>42.724136969413706</v>
      </c>
      <c r="F58" s="357">
        <v>4.6737024632818702</v>
      </c>
      <c r="G58" s="357">
        <v>6.5017061301513195</v>
      </c>
      <c r="H58" s="357">
        <v>3.863661221321621</v>
      </c>
      <c r="I58" s="357">
        <v>2.0153656017996582</v>
      </c>
      <c r="J58" s="357">
        <v>5.4378195659152198</v>
      </c>
    </row>
    <row r="59" spans="1:10" ht="15" customHeight="1" x14ac:dyDescent="0.2">
      <c r="B59" s="115">
        <v>2020</v>
      </c>
      <c r="C59" s="357">
        <v>-0.33721606214801625</v>
      </c>
      <c r="D59" s="357">
        <v>0.1775566730861442</v>
      </c>
      <c r="E59" s="357">
        <v>-2.7197069944562884</v>
      </c>
      <c r="F59" s="357">
        <v>2.1676697773979328</v>
      </c>
      <c r="G59" s="357">
        <v>8.3127333411079718</v>
      </c>
      <c r="H59" s="357">
        <v>-4.3589711794477921</v>
      </c>
      <c r="I59" s="357">
        <v>0.7372579164022568</v>
      </c>
      <c r="J59" s="357">
        <v>0.7320883954204902</v>
      </c>
    </row>
    <row r="60" spans="1:10" ht="15" customHeight="1" x14ac:dyDescent="0.2">
      <c r="B60" s="115"/>
      <c r="C60" s="357"/>
      <c r="D60" s="357"/>
      <c r="E60" s="357"/>
      <c r="F60" s="357"/>
      <c r="G60" s="357"/>
      <c r="H60" s="357"/>
      <c r="I60" s="357"/>
      <c r="J60" s="357"/>
    </row>
    <row r="61" spans="1:10" ht="15" customHeight="1" x14ac:dyDescent="0.2">
      <c r="B61" s="115">
        <v>2021</v>
      </c>
      <c r="C61" s="357">
        <v>5.7945404138405934</v>
      </c>
      <c r="D61" s="357">
        <v>5.328867602582207</v>
      </c>
      <c r="E61" s="357">
        <v>-4.1063471109639806</v>
      </c>
      <c r="F61" s="357">
        <v>1.0315354904784755</v>
      </c>
      <c r="G61" s="357">
        <v>2.3454779403680703</v>
      </c>
      <c r="H61" s="357">
        <v>12.525140384631428</v>
      </c>
      <c r="I61" s="357">
        <v>5.172538605405876</v>
      </c>
      <c r="J61" s="357">
        <v>3.8536508348607441</v>
      </c>
    </row>
    <row r="62" spans="1:10" ht="15" customHeight="1" x14ac:dyDescent="0.2">
      <c r="B62" s="115">
        <v>2022</v>
      </c>
      <c r="C62" s="357">
        <v>10.820397221769596</v>
      </c>
      <c r="D62" s="357">
        <v>11.650219219939199</v>
      </c>
      <c r="E62" s="357">
        <v>64.907345279943144</v>
      </c>
      <c r="F62" s="357">
        <v>10.977148493714651</v>
      </c>
      <c r="G62" s="357">
        <v>9.4693769144174524</v>
      </c>
      <c r="H62" s="357">
        <v>17.015172786591862</v>
      </c>
      <c r="I62" s="357">
        <v>6.3417640568056441</v>
      </c>
      <c r="J62" s="357">
        <v>9.6374334838534992</v>
      </c>
    </row>
    <row r="63" spans="1:10" ht="15" customHeight="1" x14ac:dyDescent="0.2">
      <c r="B63" s="115">
        <v>2023</v>
      </c>
      <c r="C63" s="357">
        <v>4.3652303953998057</v>
      </c>
      <c r="D63" s="357">
        <v>5.7279489462274427</v>
      </c>
      <c r="E63" s="357">
        <v>-24.690623736709028</v>
      </c>
      <c r="F63" s="357">
        <v>19.244626907930297</v>
      </c>
      <c r="G63" s="357">
        <v>16.002916201175921</v>
      </c>
      <c r="H63" s="357">
        <v>-5.8375791538921789</v>
      </c>
      <c r="I63" s="357">
        <v>7.245018992660718</v>
      </c>
      <c r="J63" s="357">
        <v>6.1935726048672848</v>
      </c>
    </row>
    <row r="64" spans="1:10" ht="15" customHeight="1" x14ac:dyDescent="0.2">
      <c r="B64" s="115">
        <v>2024</v>
      </c>
      <c r="C64" s="357">
        <v>3.7684302117241373</v>
      </c>
      <c r="D64" s="357">
        <v>2.9580761143242995</v>
      </c>
      <c r="E64" s="357">
        <v>5.5217242877356654</v>
      </c>
      <c r="F64" s="357">
        <v>-3.2853843691456461</v>
      </c>
      <c r="G64" s="357">
        <v>2.7485206971137472</v>
      </c>
      <c r="H64" s="357">
        <v>2.1568972605379741</v>
      </c>
      <c r="I64" s="357">
        <v>4.2516188854273054</v>
      </c>
      <c r="J64" s="357">
        <v>7.2998757836795534</v>
      </c>
    </row>
    <row r="65" spans="1:10" s="101" customFormat="1" ht="15" customHeight="1" x14ac:dyDescent="0.2">
      <c r="A65" s="20"/>
      <c r="B65" s="115"/>
      <c r="C65" s="380" t="s">
        <v>9</v>
      </c>
      <c r="D65" s="380"/>
      <c r="E65" s="380"/>
      <c r="F65" s="380"/>
      <c r="G65" s="380"/>
      <c r="H65" s="380"/>
      <c r="I65" s="380"/>
      <c r="J65" s="380"/>
    </row>
    <row r="66" spans="1:10" ht="15" customHeight="1" x14ac:dyDescent="0.2">
      <c r="B66" s="115">
        <v>2000</v>
      </c>
      <c r="C66" s="110" t="s">
        <v>37</v>
      </c>
      <c r="D66" s="110">
        <v>100</v>
      </c>
      <c r="E66" s="110">
        <v>2.0726432180766938</v>
      </c>
      <c r="F66" s="110">
        <v>19.530956257802622</v>
      </c>
      <c r="G66" s="110">
        <v>4.7050066896386156</v>
      </c>
      <c r="H66" s="110">
        <v>22.310208957623633</v>
      </c>
      <c r="I66" s="110">
        <v>25.600024877223095</v>
      </c>
      <c r="J66" s="110">
        <v>25.781159999635339</v>
      </c>
    </row>
    <row r="67" spans="1:10" ht="15" customHeight="1" x14ac:dyDescent="0.2">
      <c r="B67" s="115">
        <v>2001</v>
      </c>
      <c r="C67" s="110" t="s">
        <v>37</v>
      </c>
      <c r="D67" s="110">
        <v>100</v>
      </c>
      <c r="E67" s="110">
        <v>2.2398716628801014</v>
      </c>
      <c r="F67" s="110">
        <v>19.204709152956262</v>
      </c>
      <c r="G67" s="110">
        <v>4.2802708788803372</v>
      </c>
      <c r="H67" s="110">
        <v>23.270027739882373</v>
      </c>
      <c r="I67" s="110">
        <v>25.204052807525109</v>
      </c>
      <c r="J67" s="110">
        <v>25.801067757875813</v>
      </c>
    </row>
    <row r="68" spans="1:10" ht="15" customHeight="1" x14ac:dyDescent="0.2">
      <c r="B68" s="115">
        <v>2002</v>
      </c>
      <c r="C68" s="110" t="s">
        <v>37</v>
      </c>
      <c r="D68" s="110">
        <v>100</v>
      </c>
      <c r="E68" s="110">
        <v>1.7789977393183789</v>
      </c>
      <c r="F68" s="110">
        <v>18.668341220513621</v>
      </c>
      <c r="G68" s="110">
        <v>4.2837512098374466</v>
      </c>
      <c r="H68" s="110">
        <v>23.250864072668872</v>
      </c>
      <c r="I68" s="110">
        <v>25.422370357716627</v>
      </c>
      <c r="J68" s="110">
        <v>26.595675399945051</v>
      </c>
    </row>
    <row r="69" spans="1:10" ht="15" customHeight="1" x14ac:dyDescent="0.2">
      <c r="B69" s="115">
        <v>2003</v>
      </c>
      <c r="C69" s="110" t="s">
        <v>37</v>
      </c>
      <c r="D69" s="110">
        <v>100</v>
      </c>
      <c r="E69" s="110">
        <v>1.7146495821606069</v>
      </c>
      <c r="F69" s="110">
        <v>19.316540779054861</v>
      </c>
      <c r="G69" s="110">
        <v>4.1154110563957786</v>
      </c>
      <c r="H69" s="110">
        <v>22.605676538095128</v>
      </c>
      <c r="I69" s="110">
        <v>25.62402172669734</v>
      </c>
      <c r="J69" s="110">
        <v>26.623700317596288</v>
      </c>
    </row>
    <row r="70" spans="1:10" ht="15" customHeight="1" x14ac:dyDescent="0.2">
      <c r="B70" s="115">
        <v>2004</v>
      </c>
      <c r="C70" s="110" t="s">
        <v>37</v>
      </c>
      <c r="D70" s="110">
        <v>100</v>
      </c>
      <c r="E70" s="110">
        <v>1.827602804032191</v>
      </c>
      <c r="F70" s="110">
        <v>19.567743979829327</v>
      </c>
      <c r="G70" s="110">
        <v>3.7755364826025462</v>
      </c>
      <c r="H70" s="110">
        <v>22.823746032187842</v>
      </c>
      <c r="I70" s="110">
        <v>25.297767259236171</v>
      </c>
      <c r="J70" s="110">
        <v>26.707603442111921</v>
      </c>
    </row>
    <row r="71" spans="1:10" ht="15" customHeight="1" x14ac:dyDescent="0.2">
      <c r="B71" s="115"/>
      <c r="C71" s="110"/>
      <c r="D71" s="110"/>
      <c r="E71" s="110"/>
      <c r="F71" s="110"/>
      <c r="G71" s="110"/>
      <c r="H71" s="110"/>
      <c r="I71" s="110"/>
      <c r="J71" s="110"/>
    </row>
    <row r="72" spans="1:10" ht="15" customHeight="1" x14ac:dyDescent="0.2">
      <c r="B72" s="115">
        <v>2005</v>
      </c>
      <c r="C72" s="110" t="s">
        <v>37</v>
      </c>
      <c r="D72" s="110">
        <v>100</v>
      </c>
      <c r="E72" s="110">
        <v>1.3051015305700018</v>
      </c>
      <c r="F72" s="110">
        <v>19.353440604274279</v>
      </c>
      <c r="G72" s="110">
        <v>3.89360788018304</v>
      </c>
      <c r="H72" s="110">
        <v>22.905136214015112</v>
      </c>
      <c r="I72" s="110">
        <v>25.612845717996212</v>
      </c>
      <c r="J72" s="110">
        <v>26.929868052961361</v>
      </c>
    </row>
    <row r="73" spans="1:10" ht="15" customHeight="1" x14ac:dyDescent="0.2">
      <c r="B73" s="115">
        <v>2006</v>
      </c>
      <c r="C73" s="110" t="s">
        <v>37</v>
      </c>
      <c r="D73" s="110">
        <v>100</v>
      </c>
      <c r="E73" s="110">
        <v>1.4396088918890924</v>
      </c>
      <c r="F73" s="110">
        <v>20.377540629854192</v>
      </c>
      <c r="G73" s="110">
        <v>4.0251789270601925</v>
      </c>
      <c r="H73" s="110">
        <v>22.393653352856074</v>
      </c>
      <c r="I73" s="110">
        <v>25.31847222593796</v>
      </c>
      <c r="J73" s="110">
        <v>26.445545972402495</v>
      </c>
    </row>
    <row r="74" spans="1:10" ht="15" customHeight="1" x14ac:dyDescent="0.2">
      <c r="A74" s="20"/>
      <c r="B74" s="115">
        <v>2007</v>
      </c>
      <c r="C74" s="110" t="s">
        <v>37</v>
      </c>
      <c r="D74" s="110">
        <v>100</v>
      </c>
      <c r="E74" s="110">
        <v>1.592799604943401</v>
      </c>
      <c r="F74" s="110">
        <v>20.117960557517538</v>
      </c>
      <c r="G74" s="110">
        <v>3.9113875805677525</v>
      </c>
      <c r="H74" s="110">
        <v>22.581753847225443</v>
      </c>
      <c r="I74" s="110">
        <v>25.44573514969818</v>
      </c>
      <c r="J74" s="110">
        <v>26.350363260047676</v>
      </c>
    </row>
    <row r="75" spans="1:10" ht="15" customHeight="1" x14ac:dyDescent="0.2">
      <c r="A75" s="20"/>
      <c r="B75" s="115">
        <v>2008</v>
      </c>
      <c r="C75" s="110" t="s">
        <v>37</v>
      </c>
      <c r="D75" s="110">
        <v>100</v>
      </c>
      <c r="E75" s="110">
        <v>1.7643221497976529</v>
      </c>
      <c r="F75" s="110">
        <v>19.953046121605929</v>
      </c>
      <c r="G75" s="110">
        <v>3.9692497146281824</v>
      </c>
      <c r="H75" s="110">
        <v>23.316758736930943</v>
      </c>
      <c r="I75" s="110">
        <v>24.983719314777694</v>
      </c>
      <c r="J75" s="110">
        <v>26.012903962259596</v>
      </c>
    </row>
    <row r="76" spans="1:10" ht="15" customHeight="1" x14ac:dyDescent="0.2">
      <c r="A76" s="20"/>
      <c r="B76" s="115">
        <v>2009</v>
      </c>
      <c r="C76" s="110" t="s">
        <v>37</v>
      </c>
      <c r="D76" s="110">
        <v>100</v>
      </c>
      <c r="E76" s="110">
        <v>1.2583401629024447</v>
      </c>
      <c r="F76" s="110">
        <v>17.820583762171118</v>
      </c>
      <c r="G76" s="110">
        <v>4.2574167797317433</v>
      </c>
      <c r="H76" s="110">
        <v>23.602691954221424</v>
      </c>
      <c r="I76" s="110">
        <v>25.485864329224746</v>
      </c>
      <c r="J76" s="110">
        <v>27.575103011748521</v>
      </c>
    </row>
    <row r="77" spans="1:10" ht="15" customHeight="1" x14ac:dyDescent="0.2">
      <c r="A77" s="20"/>
      <c r="B77" s="115"/>
      <c r="C77" s="110"/>
      <c r="D77" s="110"/>
      <c r="E77" s="110"/>
      <c r="F77" s="110"/>
      <c r="G77" s="110"/>
      <c r="H77" s="110"/>
      <c r="I77" s="110"/>
      <c r="J77" s="110"/>
    </row>
    <row r="78" spans="1:10" ht="15" customHeight="1" x14ac:dyDescent="0.2">
      <c r="A78" s="20"/>
      <c r="B78" s="115">
        <v>2010</v>
      </c>
      <c r="C78" s="110" t="s">
        <v>37</v>
      </c>
      <c r="D78" s="110">
        <v>100</v>
      </c>
      <c r="E78" s="110">
        <v>1.4491492852990868</v>
      </c>
      <c r="F78" s="110">
        <v>18.126787267843017</v>
      </c>
      <c r="G78" s="110">
        <v>4.4868324951795922</v>
      </c>
      <c r="H78" s="110">
        <v>22.25983197661736</v>
      </c>
      <c r="I78" s="110">
        <v>26.295913523993235</v>
      </c>
      <c r="J78" s="110">
        <v>27.381485451067714</v>
      </c>
    </row>
    <row r="79" spans="1:10" ht="15" customHeight="1" x14ac:dyDescent="0.2">
      <c r="A79" s="20"/>
      <c r="B79" s="115">
        <v>2011</v>
      </c>
      <c r="C79" s="110" t="s">
        <v>37</v>
      </c>
      <c r="D79" s="110">
        <v>100</v>
      </c>
      <c r="E79" s="110">
        <v>1.7035252347412693</v>
      </c>
      <c r="F79" s="110">
        <v>18.780928812522497</v>
      </c>
      <c r="G79" s="110">
        <v>4.4625403784809121</v>
      </c>
      <c r="H79" s="110">
        <v>22.353815059174011</v>
      </c>
      <c r="I79" s="110">
        <v>25.264105310528681</v>
      </c>
      <c r="J79" s="110">
        <v>27.435085204552625</v>
      </c>
    </row>
    <row r="80" spans="1:10" ht="15" customHeight="1" x14ac:dyDescent="0.2">
      <c r="A80" s="20"/>
      <c r="B80" s="115">
        <v>2012</v>
      </c>
      <c r="C80" s="110" t="s">
        <v>37</v>
      </c>
      <c r="D80" s="110">
        <v>100</v>
      </c>
      <c r="E80" s="110">
        <v>1.605867470931017</v>
      </c>
      <c r="F80" s="110">
        <v>19.431054402440704</v>
      </c>
      <c r="G80" s="110">
        <v>4.7081862153627574</v>
      </c>
      <c r="H80" s="110">
        <v>22.240645408366895</v>
      </c>
      <c r="I80" s="110">
        <v>25.088090136738565</v>
      </c>
      <c r="J80" s="110">
        <v>26.926156366160068</v>
      </c>
    </row>
    <row r="81" spans="1:10" ht="15" customHeight="1" x14ac:dyDescent="0.2">
      <c r="A81" s="20"/>
      <c r="B81" s="115">
        <v>2013</v>
      </c>
      <c r="C81" s="110" t="s">
        <v>37</v>
      </c>
      <c r="D81" s="110">
        <v>100</v>
      </c>
      <c r="E81" s="110">
        <v>1.6404698349458591</v>
      </c>
      <c r="F81" s="110">
        <v>19.04619140944542</v>
      </c>
      <c r="G81" s="110">
        <v>4.8815569802394911</v>
      </c>
      <c r="H81" s="110">
        <v>21.927837319687654</v>
      </c>
      <c r="I81" s="110">
        <v>25.57396185310153</v>
      </c>
      <c r="J81" s="110">
        <v>26.929982602580047</v>
      </c>
    </row>
    <row r="82" spans="1:10" ht="15" customHeight="1" x14ac:dyDescent="0.2">
      <c r="A82" s="20"/>
      <c r="B82" s="115">
        <v>2014</v>
      </c>
      <c r="C82" s="110" t="s">
        <v>37</v>
      </c>
      <c r="D82" s="110">
        <v>100</v>
      </c>
      <c r="E82" s="110">
        <v>1.6908317654725153</v>
      </c>
      <c r="F82" s="110">
        <v>18.977753713043576</v>
      </c>
      <c r="G82" s="110">
        <v>4.8051498758899784</v>
      </c>
      <c r="H82" s="110">
        <v>22.278202136765209</v>
      </c>
      <c r="I82" s="110">
        <v>25.396694527877997</v>
      </c>
      <c r="J82" s="110">
        <v>26.851367980950716</v>
      </c>
    </row>
    <row r="83" spans="1:10" ht="15" customHeight="1" x14ac:dyDescent="0.2">
      <c r="A83" s="20"/>
      <c r="B83" s="115"/>
      <c r="C83" s="110"/>
      <c r="D83" s="110"/>
      <c r="E83" s="110"/>
      <c r="F83" s="110"/>
      <c r="G83" s="110"/>
      <c r="H83" s="110"/>
      <c r="I83" s="110"/>
      <c r="J83" s="110"/>
    </row>
    <row r="84" spans="1:10" ht="15" customHeight="1" x14ac:dyDescent="0.2">
      <c r="A84" s="20"/>
      <c r="B84" s="115">
        <v>2015</v>
      </c>
      <c r="C84" s="110" t="s">
        <v>37</v>
      </c>
      <c r="D84" s="110">
        <v>100</v>
      </c>
      <c r="E84" s="110">
        <v>1.1466649362786454</v>
      </c>
      <c r="F84" s="110">
        <v>18.426451022848518</v>
      </c>
      <c r="G84" s="110">
        <v>4.783855827101398</v>
      </c>
      <c r="H84" s="110">
        <v>22.645284901835613</v>
      </c>
      <c r="I84" s="110">
        <v>25.823749296668051</v>
      </c>
      <c r="J84" s="110">
        <v>27.17399401526778</v>
      </c>
    </row>
    <row r="85" spans="1:10" ht="15" customHeight="1" x14ac:dyDescent="0.2">
      <c r="A85" s="20"/>
      <c r="B85" s="115">
        <v>2016</v>
      </c>
      <c r="C85" s="110" t="s">
        <v>37</v>
      </c>
      <c r="D85" s="110">
        <v>100</v>
      </c>
      <c r="E85" s="110">
        <v>1.0877127018247617</v>
      </c>
      <c r="F85" s="110">
        <v>18.937144711561324</v>
      </c>
      <c r="G85" s="110">
        <v>4.8769021246426068</v>
      </c>
      <c r="H85" s="110">
        <v>22.427245024898543</v>
      </c>
      <c r="I85" s="110">
        <v>25.416571276485215</v>
      </c>
      <c r="J85" s="110">
        <v>27.254424160587558</v>
      </c>
    </row>
    <row r="86" spans="1:10" ht="15" customHeight="1" x14ac:dyDescent="0.2">
      <c r="A86" s="20"/>
      <c r="B86" s="115">
        <v>2017</v>
      </c>
      <c r="C86" s="110" t="s">
        <v>37</v>
      </c>
      <c r="D86" s="110">
        <v>100</v>
      </c>
      <c r="E86" s="110">
        <v>1.5561261210394719</v>
      </c>
      <c r="F86" s="110">
        <v>19.135215479406508</v>
      </c>
      <c r="G86" s="110">
        <v>4.9417569791451719</v>
      </c>
      <c r="H86" s="110">
        <v>23.232627012038854</v>
      </c>
      <c r="I86" s="110">
        <v>24.315537926440811</v>
      </c>
      <c r="J86" s="110">
        <v>26.818736481929172</v>
      </c>
    </row>
    <row r="87" spans="1:10" ht="15" customHeight="1" x14ac:dyDescent="0.2">
      <c r="A87" s="20"/>
      <c r="B87" s="115">
        <v>2018</v>
      </c>
      <c r="C87" s="110" t="s">
        <v>37</v>
      </c>
      <c r="D87" s="110">
        <v>100</v>
      </c>
      <c r="E87" s="110">
        <v>1.2143696088833509</v>
      </c>
      <c r="F87" s="110">
        <v>18.918440546376232</v>
      </c>
      <c r="G87" s="110">
        <v>5.3404313550769951</v>
      </c>
      <c r="H87" s="110">
        <v>23.392882201800358</v>
      </c>
      <c r="I87" s="110">
        <v>24.267391900440078</v>
      </c>
      <c r="J87" s="110">
        <v>26.866484387422993</v>
      </c>
    </row>
    <row r="88" spans="1:10" ht="15" customHeight="1" x14ac:dyDescent="0.2">
      <c r="A88" s="20"/>
      <c r="B88" s="115">
        <v>2019</v>
      </c>
      <c r="C88" s="110" t="s">
        <v>37</v>
      </c>
      <c r="D88" s="110">
        <v>100</v>
      </c>
      <c r="E88" s="110">
        <v>1.6569128031055476</v>
      </c>
      <c r="F88" s="110">
        <v>18.931030660172251</v>
      </c>
      <c r="G88" s="110">
        <v>5.4373118297695804</v>
      </c>
      <c r="H88" s="110">
        <v>23.227298418881652</v>
      </c>
      <c r="I88" s="110">
        <v>23.666826790562297</v>
      </c>
      <c r="J88" s="110">
        <v>27.080619497508668</v>
      </c>
    </row>
    <row r="89" spans="1:10" ht="15" customHeight="1" x14ac:dyDescent="0.2">
      <c r="A89" s="20"/>
      <c r="B89" s="115"/>
      <c r="C89" s="110"/>
      <c r="D89" s="110"/>
      <c r="E89" s="110"/>
      <c r="F89" s="110"/>
      <c r="G89" s="110"/>
      <c r="H89" s="110"/>
      <c r="I89" s="110"/>
      <c r="J89" s="110"/>
    </row>
    <row r="90" spans="1:10" ht="15" customHeight="1" x14ac:dyDescent="0.2">
      <c r="A90" s="20"/>
      <c r="B90" s="115">
        <v>2020</v>
      </c>
      <c r="C90" s="110" t="s">
        <v>37</v>
      </c>
      <c r="D90" s="110">
        <v>100</v>
      </c>
      <c r="E90" s="110">
        <v>1.6089927557002259</v>
      </c>
      <c r="F90" s="110">
        <v>19.307111824917399</v>
      </c>
      <c r="G90" s="110">
        <v>5.8788627499886648</v>
      </c>
      <c r="H90" s="110">
        <v>22.175453178133402</v>
      </c>
      <c r="I90" s="110">
        <v>23.799055533405891</v>
      </c>
      <c r="J90" s="110">
        <v>27.230523957854416</v>
      </c>
    </row>
    <row r="91" spans="1:10" ht="15" customHeight="1" x14ac:dyDescent="0.2">
      <c r="A91" s="20"/>
      <c r="B91" s="115">
        <v>2021</v>
      </c>
      <c r="C91" s="110" t="s">
        <v>37</v>
      </c>
      <c r="D91" s="110">
        <v>100</v>
      </c>
      <c r="E91" s="110">
        <v>1.4648614034117693</v>
      </c>
      <c r="F91" s="110">
        <v>18.519397368988308</v>
      </c>
      <c r="G91" s="110">
        <v>5.7123467819250147</v>
      </c>
      <c r="H91" s="110">
        <v>23.690523203736678</v>
      </c>
      <c r="I91" s="110">
        <v>23.763732999612795</v>
      </c>
      <c r="J91" s="110">
        <v>26.849138242325438</v>
      </c>
    </row>
    <row r="92" spans="1:10" ht="15" customHeight="1" x14ac:dyDescent="0.2">
      <c r="A92" s="20"/>
      <c r="B92" s="115">
        <v>2022</v>
      </c>
      <c r="C92" s="110" t="s">
        <v>37</v>
      </c>
      <c r="D92" s="110">
        <v>100</v>
      </c>
      <c r="E92" s="110">
        <v>2.1635999188127539</v>
      </c>
      <c r="F92" s="110">
        <v>18.407755275282859</v>
      </c>
      <c r="G92" s="110">
        <v>5.6007686084751898</v>
      </c>
      <c r="H92" s="110">
        <v>24.828886906430199</v>
      </c>
      <c r="I92" s="110">
        <v>22.633876631945274</v>
      </c>
      <c r="J92" s="110">
        <v>26.365112659053718</v>
      </c>
    </row>
    <row r="93" spans="1:10" ht="15" customHeight="1" x14ac:dyDescent="0.2">
      <c r="A93" s="20"/>
      <c r="B93" s="115">
        <v>2023</v>
      </c>
      <c r="C93" s="110" t="s">
        <v>37</v>
      </c>
      <c r="D93" s="110">
        <v>100</v>
      </c>
      <c r="E93" s="110">
        <v>1.5411190890685436</v>
      </c>
      <c r="F93" s="110">
        <v>20.761075305924706</v>
      </c>
      <c r="G93" s="110">
        <v>6.145068527542894</v>
      </c>
      <c r="H93" s="110">
        <v>22.112867234497873</v>
      </c>
      <c r="I93" s="110">
        <v>22.958645783482055</v>
      </c>
      <c r="J93" s="110">
        <v>26.481224059483928</v>
      </c>
    </row>
    <row r="94" spans="1:10" ht="15" customHeight="1" x14ac:dyDescent="0.2">
      <c r="A94" s="20"/>
      <c r="B94" s="115">
        <v>2024</v>
      </c>
      <c r="C94" s="110" t="s">
        <v>37</v>
      </c>
      <c r="D94" s="110">
        <v>100</v>
      </c>
      <c r="E94" s="110">
        <v>1.579492835809041</v>
      </c>
      <c r="F94" s="110">
        <v>19.502107013598089</v>
      </c>
      <c r="G94" s="110">
        <v>6.132561180400482</v>
      </c>
      <c r="H94" s="110">
        <v>21.940793684821283</v>
      </c>
      <c r="I94" s="110">
        <v>23.24709319245035</v>
      </c>
      <c r="J94" s="110">
        <v>27.597952092920764</v>
      </c>
    </row>
    <row r="95" spans="1:10" s="101" customFormat="1" ht="15" customHeight="1" x14ac:dyDescent="0.2">
      <c r="A95" s="20"/>
      <c r="B95" s="115"/>
      <c r="C95" s="380" t="s">
        <v>10</v>
      </c>
      <c r="D95" s="380"/>
      <c r="E95" s="380"/>
      <c r="F95" s="380"/>
      <c r="G95" s="380"/>
      <c r="H95" s="380"/>
      <c r="I95" s="380"/>
      <c r="J95" s="380"/>
    </row>
    <row r="96" spans="1:10" ht="15" customHeight="1" x14ac:dyDescent="0.2">
      <c r="A96" s="20"/>
      <c r="B96" s="115">
        <v>2000</v>
      </c>
      <c r="C96" s="110">
        <v>3.0239162119774989</v>
      </c>
      <c r="D96" s="110">
        <v>3.0239162022869777</v>
      </c>
      <c r="E96" s="110">
        <v>5.6582653782700918</v>
      </c>
      <c r="F96" s="110">
        <v>2.3398311675954311</v>
      </c>
      <c r="G96" s="110">
        <v>2.8100606360598936</v>
      </c>
      <c r="H96" s="110">
        <v>3.2506275455910805</v>
      </c>
      <c r="I96" s="110">
        <v>2.9836918067624296</v>
      </c>
      <c r="J96" s="110">
        <v>3.5616469201943559</v>
      </c>
    </row>
    <row r="97" spans="1:10" ht="15" customHeight="1" x14ac:dyDescent="0.2">
      <c r="A97" s="20"/>
      <c r="B97" s="115">
        <v>2001</v>
      </c>
      <c r="C97" s="110">
        <v>3.0217369382335928</v>
      </c>
      <c r="D97" s="110">
        <v>3.0217369427901466</v>
      </c>
      <c r="E97" s="110">
        <v>5.6272356527223035</v>
      </c>
      <c r="F97" s="110">
        <v>2.3345953852476025</v>
      </c>
      <c r="G97" s="110">
        <v>2.7805111647424607</v>
      </c>
      <c r="H97" s="110">
        <v>3.2864726695170634</v>
      </c>
      <c r="I97" s="110">
        <v>2.912888632728412</v>
      </c>
      <c r="J97" s="110">
        <v>3.5850553891658605</v>
      </c>
    </row>
    <row r="98" spans="1:10" ht="15" customHeight="1" x14ac:dyDescent="0.2">
      <c r="A98" s="20"/>
      <c r="B98" s="115">
        <v>2002</v>
      </c>
      <c r="C98" s="110">
        <v>2.942263061312608</v>
      </c>
      <c r="D98" s="110">
        <v>2.9422630690776814</v>
      </c>
      <c r="E98" s="110">
        <v>5.2330439121756491</v>
      </c>
      <c r="F98" s="110">
        <v>2.2659068213124578</v>
      </c>
      <c r="G98" s="110">
        <v>2.8721252928732284</v>
      </c>
      <c r="H98" s="110">
        <v>3.1907588730741834</v>
      </c>
      <c r="I98" s="110">
        <v>2.7971879252129215</v>
      </c>
      <c r="J98" s="110">
        <v>3.5264743790164585</v>
      </c>
    </row>
    <row r="99" spans="1:10" ht="15" customHeight="1" x14ac:dyDescent="0.2">
      <c r="A99" s="20"/>
      <c r="B99" s="115">
        <v>2003</v>
      </c>
      <c r="C99" s="110">
        <v>2.9520169046014613</v>
      </c>
      <c r="D99" s="110">
        <v>2.9520169115195962</v>
      </c>
      <c r="E99" s="110">
        <v>5.4906640120533794</v>
      </c>
      <c r="F99" s="110">
        <v>2.346087045257411</v>
      </c>
      <c r="G99" s="110">
        <v>2.9108168819900877</v>
      </c>
      <c r="H99" s="110">
        <v>3.149982555512107</v>
      </c>
      <c r="I99" s="110">
        <v>2.7902979721643786</v>
      </c>
      <c r="J99" s="110">
        <v>3.5236059558095829</v>
      </c>
    </row>
    <row r="100" spans="1:10" ht="15" customHeight="1" x14ac:dyDescent="0.2">
      <c r="A100" s="20"/>
      <c r="B100" s="115">
        <v>2004</v>
      </c>
      <c r="C100" s="110">
        <v>2.9450132138994523</v>
      </c>
      <c r="D100" s="110">
        <v>2.9450132115879182</v>
      </c>
      <c r="E100" s="110">
        <v>5.1181634341391673</v>
      </c>
      <c r="F100" s="110">
        <v>2.3340842043032013</v>
      </c>
      <c r="G100" s="110">
        <v>2.8171844576970648</v>
      </c>
      <c r="H100" s="110">
        <v>3.1760482419680458</v>
      </c>
      <c r="I100" s="110">
        <v>2.7535246465350158</v>
      </c>
      <c r="J100" s="110">
        <v>3.5603763471442509</v>
      </c>
    </row>
    <row r="101" spans="1:10" ht="15" customHeight="1" x14ac:dyDescent="0.2">
      <c r="A101" s="20"/>
      <c r="B101" s="115"/>
      <c r="C101" s="110"/>
      <c r="D101" s="110"/>
      <c r="E101" s="110"/>
      <c r="F101" s="110"/>
      <c r="G101" s="110"/>
      <c r="H101" s="110"/>
      <c r="I101" s="110"/>
      <c r="J101" s="110"/>
    </row>
    <row r="102" spans="1:10" ht="15" customHeight="1" x14ac:dyDescent="0.2">
      <c r="A102" s="20"/>
      <c r="B102" s="115">
        <v>2005</v>
      </c>
      <c r="C102" s="110">
        <v>2.9283967906574766</v>
      </c>
      <c r="D102" s="110">
        <v>2.9283967752512803</v>
      </c>
      <c r="E102" s="110">
        <v>4.7420585100082908</v>
      </c>
      <c r="F102" s="110">
        <v>2.2900877132078965</v>
      </c>
      <c r="G102" s="110">
        <v>3.0278203779515582</v>
      </c>
      <c r="H102" s="110">
        <v>3.1520600023774867</v>
      </c>
      <c r="I102" s="110">
        <v>2.7500054248535291</v>
      </c>
      <c r="J102" s="110">
        <v>3.5641358111241734</v>
      </c>
    </row>
    <row r="103" spans="1:10" ht="15" customHeight="1" x14ac:dyDescent="0.2">
      <c r="B103" s="115">
        <v>2006</v>
      </c>
      <c r="C103" s="110">
        <v>2.8878154135307357</v>
      </c>
      <c r="D103" s="110">
        <v>2.8878154250895594</v>
      </c>
      <c r="E103" s="110">
        <v>5.224439203957207</v>
      </c>
      <c r="F103" s="110">
        <v>2.3141036209372898</v>
      </c>
      <c r="G103" s="110">
        <v>3.1156439384645584</v>
      </c>
      <c r="H103" s="110">
        <v>3.0397494067557771</v>
      </c>
      <c r="I103" s="110">
        <v>2.6942215191154348</v>
      </c>
      <c r="J103" s="110">
        <v>3.5304475420311197</v>
      </c>
    </row>
    <row r="104" spans="1:10" ht="15" customHeight="1" x14ac:dyDescent="0.2">
      <c r="B104" s="115">
        <v>2007</v>
      </c>
      <c r="C104" s="110">
        <v>2.8225238964369725</v>
      </c>
      <c r="D104" s="110">
        <v>2.822523879602072</v>
      </c>
      <c r="E104" s="110">
        <v>4.895372984353318</v>
      </c>
      <c r="F104" s="110">
        <v>2.2009388216017536</v>
      </c>
      <c r="G104" s="110">
        <v>2.9368811736512948</v>
      </c>
      <c r="H104" s="110">
        <v>2.9885768033345901</v>
      </c>
      <c r="I104" s="110">
        <v>2.6492885740683709</v>
      </c>
      <c r="J104" s="110">
        <v>3.5271580908478986</v>
      </c>
    </row>
    <row r="105" spans="1:10" ht="15" customHeight="1" x14ac:dyDescent="0.2">
      <c r="B105" s="115">
        <v>2008</v>
      </c>
      <c r="C105" s="110">
        <v>2.8565045874393746</v>
      </c>
      <c r="D105" s="110">
        <v>2.8565046051657776</v>
      </c>
      <c r="E105" s="110">
        <v>5.3885756471185342</v>
      </c>
      <c r="F105" s="110">
        <v>2.2537819528343741</v>
      </c>
      <c r="G105" s="110">
        <v>2.9570008891089778</v>
      </c>
      <c r="H105" s="110">
        <v>3.1162075725791309</v>
      </c>
      <c r="I105" s="110">
        <v>2.6320414185173751</v>
      </c>
      <c r="J105" s="110">
        <v>3.4635942132767963</v>
      </c>
    </row>
    <row r="106" spans="1:10" ht="15" customHeight="1" x14ac:dyDescent="0.2">
      <c r="B106" s="115">
        <v>2009</v>
      </c>
      <c r="C106" s="110">
        <v>2.8874978255380039</v>
      </c>
      <c r="D106" s="110">
        <v>2.8874978311156023</v>
      </c>
      <c r="E106" s="110">
        <v>4.8344198564593297</v>
      </c>
      <c r="F106" s="110">
        <v>2.2641498760856109</v>
      </c>
      <c r="G106" s="110">
        <v>3.0382837843843045</v>
      </c>
      <c r="H106" s="110">
        <v>3.1302206412159528</v>
      </c>
      <c r="I106" s="110">
        <v>2.6630534115216631</v>
      </c>
      <c r="J106" s="110">
        <v>3.4514942313725263</v>
      </c>
    </row>
    <row r="107" spans="1:10" ht="15" customHeight="1" x14ac:dyDescent="0.2">
      <c r="B107" s="115"/>
      <c r="C107" s="110"/>
      <c r="D107" s="110"/>
      <c r="E107" s="110"/>
      <c r="F107" s="110"/>
      <c r="G107" s="110"/>
      <c r="H107" s="110"/>
      <c r="I107" s="110"/>
      <c r="J107" s="110"/>
    </row>
    <row r="108" spans="1:10" ht="15" customHeight="1" x14ac:dyDescent="0.2">
      <c r="B108" s="115">
        <v>2010</v>
      </c>
      <c r="C108" s="110">
        <v>2.8159178688562188</v>
      </c>
      <c r="D108" s="110">
        <v>2.8159178500761328</v>
      </c>
      <c r="E108" s="110">
        <v>4.7091800532176995</v>
      </c>
      <c r="F108" s="110">
        <v>2.0371992992453936</v>
      </c>
      <c r="G108" s="110">
        <v>3.1136829034736033</v>
      </c>
      <c r="H108" s="110">
        <v>3.0727574716060131</v>
      </c>
      <c r="I108" s="110">
        <v>2.7310226714373904</v>
      </c>
      <c r="J108" s="110">
        <v>3.4257167790709806</v>
      </c>
    </row>
    <row r="109" spans="1:10" ht="15" customHeight="1" x14ac:dyDescent="0.2">
      <c r="B109" s="115">
        <v>2011</v>
      </c>
      <c r="C109" s="110">
        <v>2.7888934460534025</v>
      </c>
      <c r="D109" s="110">
        <v>2.7888934511957979</v>
      </c>
      <c r="E109" s="110">
        <v>4.587397141619749</v>
      </c>
      <c r="F109" s="110">
        <v>2.0640766979948162</v>
      </c>
      <c r="G109" s="110">
        <v>3.0316702755318938</v>
      </c>
      <c r="H109" s="110">
        <v>3.0394240116414295</v>
      </c>
      <c r="I109" s="110">
        <v>2.6207022902615731</v>
      </c>
      <c r="J109" s="110">
        <v>3.46428116478757</v>
      </c>
    </row>
    <row r="110" spans="1:10" ht="15" customHeight="1" x14ac:dyDescent="0.2">
      <c r="B110" s="115">
        <v>2012</v>
      </c>
      <c r="C110" s="110">
        <v>2.8340508788093044</v>
      </c>
      <c r="D110" s="110">
        <v>2.8340508623106704</v>
      </c>
      <c r="E110" s="110">
        <v>4.4599576686395173</v>
      </c>
      <c r="F110" s="110">
        <v>2.1544846968395324</v>
      </c>
      <c r="G110" s="110">
        <v>3.1717496506022953</v>
      </c>
      <c r="H110" s="110">
        <v>3.1143130706296196</v>
      </c>
      <c r="I110" s="110">
        <v>2.6662816980416095</v>
      </c>
      <c r="J110" s="110">
        <v>3.4209332723702968</v>
      </c>
    </row>
    <row r="111" spans="1:10" ht="15" customHeight="1" x14ac:dyDescent="0.2">
      <c r="B111" s="115">
        <v>2013</v>
      </c>
      <c r="C111" s="110">
        <v>2.8042309436120645</v>
      </c>
      <c r="D111" s="110">
        <v>2.8042309380155497</v>
      </c>
      <c r="E111" s="110">
        <v>4.4256660144491269</v>
      </c>
      <c r="F111" s="110">
        <v>2.1527499136883228</v>
      </c>
      <c r="G111" s="110">
        <v>3.2251400663472172</v>
      </c>
      <c r="H111" s="110">
        <v>3.0169843907718641</v>
      </c>
      <c r="I111" s="110">
        <v>2.6465576619410114</v>
      </c>
      <c r="J111" s="110">
        <v>3.3672910740725883</v>
      </c>
    </row>
    <row r="112" spans="1:10" ht="15" customHeight="1" x14ac:dyDescent="0.2">
      <c r="B112" s="115">
        <v>2014</v>
      </c>
      <c r="C112" s="110">
        <v>2.7853656910661706</v>
      </c>
      <c r="D112" s="110">
        <v>2.7853656933645938</v>
      </c>
      <c r="E112" s="110">
        <v>4.5892702920295685</v>
      </c>
      <c r="F112" s="110">
        <v>2.119677880850551</v>
      </c>
      <c r="G112" s="110">
        <v>3.1667623355043939</v>
      </c>
      <c r="H112" s="110">
        <v>3.0089651254054073</v>
      </c>
      <c r="I112" s="110">
        <v>2.639044575457159</v>
      </c>
      <c r="J112" s="110">
        <v>3.3415462365916149</v>
      </c>
    </row>
    <row r="113" spans="1:10" ht="15" customHeight="1" x14ac:dyDescent="0.2">
      <c r="B113" s="115"/>
      <c r="C113" s="110"/>
      <c r="D113" s="110"/>
      <c r="E113" s="110"/>
      <c r="F113" s="110"/>
      <c r="G113" s="110"/>
      <c r="H113" s="110"/>
      <c r="I113" s="110"/>
      <c r="J113" s="110"/>
    </row>
    <row r="114" spans="1:10" ht="15" customHeight="1" x14ac:dyDescent="0.2">
      <c r="B114" s="115">
        <v>2015</v>
      </c>
      <c r="C114" s="110">
        <v>2.7619118500153936</v>
      </c>
      <c r="D114" s="110">
        <v>2.7619118460924068</v>
      </c>
      <c r="E114" s="110">
        <v>3.9847064740307241</v>
      </c>
      <c r="F114" s="110">
        <v>2.0449311188173023</v>
      </c>
      <c r="G114" s="110">
        <v>3.1678175640355462</v>
      </c>
      <c r="H114" s="110">
        <v>3.0124936334661774</v>
      </c>
      <c r="I114" s="110">
        <v>2.6419522398747648</v>
      </c>
      <c r="J114" s="110">
        <v>3.3521308399687086</v>
      </c>
    </row>
    <row r="115" spans="1:10" ht="15" customHeight="1" x14ac:dyDescent="0.2">
      <c r="B115" s="115">
        <v>2016</v>
      </c>
      <c r="C115" s="110">
        <v>2.7483051897462851</v>
      </c>
      <c r="D115" s="110">
        <v>2.7483051797973115</v>
      </c>
      <c r="E115" s="110">
        <v>3.6538428583668923</v>
      </c>
      <c r="F115" s="110">
        <v>2.0727194937931595</v>
      </c>
      <c r="G115" s="110">
        <v>3.1473760884952839</v>
      </c>
      <c r="H115" s="110">
        <v>2.9709557413580172</v>
      </c>
      <c r="I115" s="110">
        <v>2.6148022094808243</v>
      </c>
      <c r="J115" s="110">
        <v>3.3509328223639026</v>
      </c>
    </row>
    <row r="116" spans="1:10" ht="15" customHeight="1" x14ac:dyDescent="0.2">
      <c r="B116" s="115">
        <v>2017</v>
      </c>
      <c r="C116" s="110">
        <v>2.8007287060469332</v>
      </c>
      <c r="D116" s="110">
        <v>2.8007286952184605</v>
      </c>
      <c r="E116" s="110">
        <v>4.5237362637362635</v>
      </c>
      <c r="F116" s="110">
        <v>2.149821898526652</v>
      </c>
      <c r="G116" s="110">
        <v>3.2098360783518975</v>
      </c>
      <c r="H116" s="110">
        <v>3.0803952985503278</v>
      </c>
      <c r="I116" s="110">
        <v>2.5846624053024265</v>
      </c>
      <c r="J116" s="110">
        <v>3.3645896377394169</v>
      </c>
    </row>
    <row r="117" spans="1:10" ht="15" customHeight="1" x14ac:dyDescent="0.2">
      <c r="B117" s="115">
        <v>2018</v>
      </c>
      <c r="C117" s="110">
        <v>2.7926352251299136</v>
      </c>
      <c r="D117" s="110">
        <v>2.7926352132261245</v>
      </c>
      <c r="E117" s="110">
        <v>4.0787221524945085</v>
      </c>
      <c r="F117" s="110">
        <v>2.1539660802416609</v>
      </c>
      <c r="G117" s="110">
        <v>3.3173614687683615</v>
      </c>
      <c r="H117" s="110">
        <v>3.056347283462765</v>
      </c>
      <c r="I117" s="110">
        <v>2.5700630609349937</v>
      </c>
      <c r="J117" s="110">
        <v>3.3492587222421175</v>
      </c>
    </row>
    <row r="118" spans="1:10" ht="15" customHeight="1" x14ac:dyDescent="0.2">
      <c r="B118" s="115">
        <v>2019</v>
      </c>
      <c r="C118" s="110">
        <v>2.8353507332639296</v>
      </c>
      <c r="D118" s="110">
        <v>2.8353507278415004</v>
      </c>
      <c r="E118" s="110">
        <v>5.0363216830675261</v>
      </c>
      <c r="F118" s="110">
        <v>2.2263584098855032</v>
      </c>
      <c r="G118" s="110">
        <v>3.3742202762806035</v>
      </c>
      <c r="H118" s="110">
        <v>3.0664219172106226</v>
      </c>
      <c r="I118" s="110">
        <v>2.5798928122900784</v>
      </c>
      <c r="J118" s="110">
        <v>3.3527424836529041</v>
      </c>
    </row>
    <row r="119" spans="1:10" ht="15" customHeight="1" x14ac:dyDescent="0.2">
      <c r="B119" s="115"/>
      <c r="C119" s="110"/>
      <c r="D119" s="110"/>
      <c r="E119" s="110"/>
      <c r="F119" s="110"/>
      <c r="G119" s="110"/>
      <c r="H119" s="110"/>
      <c r="I119" s="110"/>
      <c r="J119" s="110"/>
    </row>
    <row r="120" spans="1:10" ht="15" customHeight="1" x14ac:dyDescent="0.2">
      <c r="B120" s="115">
        <v>2020</v>
      </c>
      <c r="C120" s="110">
        <v>2.8956310260260549</v>
      </c>
      <c r="D120" s="110">
        <v>2.8956310380423087</v>
      </c>
      <c r="E120" s="110">
        <v>5.7422764874323891</v>
      </c>
      <c r="F120" s="110">
        <v>2.4073600562470645</v>
      </c>
      <c r="G120" s="110">
        <v>3.3872431682761452</v>
      </c>
      <c r="H120" s="110">
        <v>3.0482745203767134</v>
      </c>
      <c r="I120" s="110">
        <v>2.6121083434749903</v>
      </c>
      <c r="J120" s="110">
        <v>3.3563429381433387</v>
      </c>
    </row>
    <row r="121" spans="1:10" s="101" customFormat="1" ht="15" customHeight="1" x14ac:dyDescent="0.2">
      <c r="A121" s="20"/>
      <c r="B121" s="115">
        <v>2021</v>
      </c>
      <c r="C121" s="110">
        <v>2.8744045358850632</v>
      </c>
      <c r="D121" s="110">
        <v>2.8744045376208511</v>
      </c>
      <c r="E121" s="110">
        <v>5.0742102176940556</v>
      </c>
      <c r="F121" s="110">
        <v>2.2811043200625529</v>
      </c>
      <c r="G121" s="110">
        <v>3.3115769846478451</v>
      </c>
      <c r="H121" s="110">
        <v>3.2199509925165803</v>
      </c>
      <c r="I121" s="110">
        <v>2.5514778918287688</v>
      </c>
      <c r="J121" s="110">
        <v>3.3618476901554732</v>
      </c>
    </row>
    <row r="122" spans="1:10" s="101" customFormat="1" ht="15" customHeight="1" x14ac:dyDescent="0.2">
      <c r="A122" s="20"/>
      <c r="B122" s="115">
        <v>2022</v>
      </c>
      <c r="C122" s="110">
        <v>2.9619467607521783</v>
      </c>
      <c r="D122" s="110">
        <v>2.9619467657940812</v>
      </c>
      <c r="E122" s="110">
        <v>5.7519158584204559</v>
      </c>
      <c r="F122" s="110">
        <v>2.3078833126213314</v>
      </c>
      <c r="G122" s="110">
        <v>3.3983802804753935</v>
      </c>
      <c r="H122" s="110">
        <v>3.3636274824447669</v>
      </c>
      <c r="I122" s="110">
        <v>2.621095041979828</v>
      </c>
      <c r="J122" s="110">
        <v>3.4043805864682812</v>
      </c>
    </row>
    <row r="123" spans="1:10" s="101" customFormat="1" ht="15" customHeight="1" x14ac:dyDescent="0.2">
      <c r="A123" s="20"/>
      <c r="B123" s="115">
        <v>2023</v>
      </c>
      <c r="C123" s="176">
        <v>2.9201202709321357</v>
      </c>
      <c r="D123" s="176">
        <v>2.9201202663069563</v>
      </c>
      <c r="E123" s="176">
        <v>4.8790675898076161</v>
      </c>
      <c r="F123" s="176">
        <v>2.4657046416915573</v>
      </c>
      <c r="G123" s="176">
        <v>3.3802537062509552</v>
      </c>
      <c r="H123" s="176">
        <v>3.0595408724465183</v>
      </c>
      <c r="I123" s="176">
        <v>2.6428692141582948</v>
      </c>
      <c r="J123" s="176">
        <v>3.4051099635010837</v>
      </c>
    </row>
    <row r="124" spans="1:10" ht="15" customHeight="1" x14ac:dyDescent="0.2">
      <c r="B124" s="186">
        <v>2024</v>
      </c>
      <c r="C124" s="113">
        <v>2.9459077035997825</v>
      </c>
      <c r="D124" s="113">
        <v>2.9459076965370943</v>
      </c>
      <c r="E124" s="113">
        <v>5.1004272783493558</v>
      </c>
      <c r="F124" s="113">
        <v>2.4832560000709409</v>
      </c>
      <c r="G124" s="113">
        <v>3.3505421961798949</v>
      </c>
      <c r="H124" s="113">
        <v>3.0399723795222502</v>
      </c>
      <c r="I124" s="113">
        <v>2.6608825747875917</v>
      </c>
      <c r="J124" s="113">
        <v>3.4506440258089235</v>
      </c>
    </row>
    <row r="125" spans="1:10" s="9" customFormat="1" x14ac:dyDescent="0.2">
      <c r="B125" s="102"/>
      <c r="C125" s="112"/>
      <c r="D125" s="112"/>
      <c r="E125" s="112"/>
      <c r="F125" s="112"/>
      <c r="G125" s="112"/>
      <c r="H125" s="112"/>
      <c r="I125" s="112"/>
      <c r="J125" s="112"/>
    </row>
    <row r="126" spans="1:10" x14ac:dyDescent="0.2">
      <c r="B126" s="387" t="s">
        <v>172</v>
      </c>
      <c r="C126" s="387"/>
      <c r="D126" s="387"/>
      <c r="E126" s="387"/>
      <c r="F126" s="387"/>
      <c r="G126" s="387"/>
      <c r="H126" s="387"/>
      <c r="I126" s="387"/>
      <c r="J126" s="387"/>
    </row>
    <row r="128" spans="1:10" x14ac:dyDescent="0.2">
      <c r="B128" s="388" t="s">
        <v>213</v>
      </c>
      <c r="C128" s="388"/>
      <c r="D128" s="388"/>
      <c r="E128" s="388"/>
      <c r="F128" s="388"/>
      <c r="G128" s="388"/>
      <c r="H128" s="388"/>
      <c r="I128" s="388"/>
      <c r="J128" s="388"/>
    </row>
    <row r="129" spans="10:10" x14ac:dyDescent="0.2">
      <c r="J129" s="107" t="s">
        <v>177</v>
      </c>
    </row>
  </sheetData>
  <mergeCells count="11">
    <mergeCell ref="C36:J36"/>
    <mergeCell ref="C65:J65"/>
    <mergeCell ref="C95:J95"/>
    <mergeCell ref="B126:J126"/>
    <mergeCell ref="B128:J128"/>
    <mergeCell ref="C6:J6"/>
    <mergeCell ref="B3:J3"/>
    <mergeCell ref="B4:B5"/>
    <mergeCell ref="C4:C5"/>
    <mergeCell ref="D4:D5"/>
    <mergeCell ref="E4:J4"/>
  </mergeCells>
  <hyperlinks>
    <hyperlink ref="J129" location="Inhaltsverzeichnis!A1" display="› Zurück zum Inhaltsverzeichnis" xr:uid="{71166687-34AB-431D-89CF-A7C54769C2CF}"/>
  </hyperlinks>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3FB1-E86F-42A9-AED4-14AC4AC7E6E1}">
  <sheetPr codeName="Tabelle8"/>
  <dimension ref="A1:J128"/>
  <sheetViews>
    <sheetView zoomScaleNormal="100" workbookViewId="0">
      <pane ySplit="5" topLeftCell="A6" activePane="bottomLeft" state="frozen"/>
      <selection pane="bottomLeft"/>
    </sheetView>
  </sheetViews>
  <sheetFormatPr baseColWidth="10" defaultColWidth="11.375" defaultRowHeight="11.4" x14ac:dyDescent="0.2"/>
  <cols>
    <col min="1" max="1" width="2.75" style="9" customWidth="1"/>
    <col min="2" max="5" width="12.75" style="100" customWidth="1"/>
    <col min="6" max="6" width="13.625" style="100" customWidth="1"/>
    <col min="7" max="7" width="12.75" style="100" customWidth="1"/>
    <col min="8" max="8" width="13.75" style="100" customWidth="1"/>
    <col min="9" max="9" width="14.875" style="100" customWidth="1"/>
    <col min="10" max="10" width="12.75" style="100" customWidth="1"/>
    <col min="11" max="16384" width="11.375" style="100"/>
  </cols>
  <sheetData>
    <row r="1" spans="1:10" s="46" customFormat="1" ht="13.8" x14ac:dyDescent="0.2">
      <c r="C1" s="40"/>
      <c r="E1" s="41"/>
    </row>
    <row r="2" spans="1:10" s="95" customFormat="1" ht="20.100000000000001" customHeight="1" x14ac:dyDescent="0.25">
      <c r="A2" s="93"/>
      <c r="B2" s="97" t="s">
        <v>44</v>
      </c>
      <c r="C2" s="97"/>
      <c r="D2" s="97"/>
      <c r="E2" s="97"/>
      <c r="F2" s="97"/>
      <c r="G2" s="97"/>
      <c r="H2" s="97"/>
      <c r="I2" s="97"/>
    </row>
    <row r="3" spans="1:10" s="80" customFormat="1" ht="50.25" customHeight="1" x14ac:dyDescent="0.2">
      <c r="A3" s="65"/>
      <c r="B3" s="381" t="s">
        <v>206</v>
      </c>
      <c r="C3" s="381"/>
      <c r="D3" s="381"/>
      <c r="E3" s="381"/>
      <c r="F3" s="381"/>
      <c r="G3" s="381"/>
      <c r="H3" s="381"/>
      <c r="I3" s="381"/>
      <c r="J3" s="381"/>
    </row>
    <row r="4" spans="1:10" ht="20.100000000000001" customHeight="1" x14ac:dyDescent="0.2">
      <c r="A4" s="20"/>
      <c r="B4" s="382" t="s">
        <v>0</v>
      </c>
      <c r="C4" s="383" t="s">
        <v>13</v>
      </c>
      <c r="D4" s="384" t="s">
        <v>11</v>
      </c>
      <c r="E4" s="385" t="s">
        <v>1</v>
      </c>
      <c r="F4" s="385"/>
      <c r="G4" s="385"/>
      <c r="H4" s="385"/>
      <c r="I4" s="385"/>
      <c r="J4" s="386"/>
    </row>
    <row r="5" spans="1:10" ht="86.25" customHeight="1" x14ac:dyDescent="0.2">
      <c r="A5" s="20"/>
      <c r="B5" s="382"/>
      <c r="C5" s="383"/>
      <c r="D5" s="384"/>
      <c r="E5" s="105" t="s">
        <v>4</v>
      </c>
      <c r="F5" s="105" t="s">
        <v>5</v>
      </c>
      <c r="G5" s="105" t="s">
        <v>2</v>
      </c>
      <c r="H5" s="105" t="s">
        <v>131</v>
      </c>
      <c r="I5" s="105" t="s">
        <v>6</v>
      </c>
      <c r="J5" s="106" t="s">
        <v>3</v>
      </c>
    </row>
    <row r="6" spans="1:10" ht="15" customHeight="1" x14ac:dyDescent="0.2">
      <c r="A6" s="20"/>
      <c r="B6" s="114"/>
      <c r="C6" s="389" t="s">
        <v>215</v>
      </c>
      <c r="D6" s="389"/>
      <c r="E6" s="389"/>
      <c r="F6" s="389"/>
      <c r="G6" s="389"/>
      <c r="H6" s="389"/>
      <c r="I6" s="389"/>
      <c r="J6" s="389"/>
    </row>
    <row r="7" spans="1:10" ht="15" customHeight="1" x14ac:dyDescent="0.2">
      <c r="A7" s="20"/>
      <c r="B7" s="115">
        <v>2000</v>
      </c>
      <c r="C7" s="118">
        <v>84.410153870622096</v>
      </c>
      <c r="D7" s="118">
        <v>83.541432394032299</v>
      </c>
      <c r="E7" s="118">
        <v>110.015468608674</v>
      </c>
      <c r="F7" s="118">
        <v>78.111355649979004</v>
      </c>
      <c r="G7" s="118">
        <v>103.43062803458</v>
      </c>
      <c r="H7" s="118">
        <v>68.734017589886193</v>
      </c>
      <c r="I7" s="118">
        <v>91.727212576046796</v>
      </c>
      <c r="J7" s="118">
        <v>90.950805284232999</v>
      </c>
    </row>
    <row r="8" spans="1:10" ht="15" customHeight="1" x14ac:dyDescent="0.2">
      <c r="A8" s="20"/>
      <c r="B8" s="115">
        <v>2001</v>
      </c>
      <c r="C8" s="118">
        <v>85.457439752039406</v>
      </c>
      <c r="D8" s="118">
        <v>84.848451693657296</v>
      </c>
      <c r="E8" s="118">
        <v>100.788070922019</v>
      </c>
      <c r="F8" s="118">
        <v>78.169561270402994</v>
      </c>
      <c r="G8" s="118">
        <v>95.695266041757094</v>
      </c>
      <c r="H8" s="118">
        <v>74.043020153127998</v>
      </c>
      <c r="I8" s="118">
        <v>91.9791084859271</v>
      </c>
      <c r="J8" s="118">
        <v>91.946148710510698</v>
      </c>
    </row>
    <row r="9" spans="1:10" ht="15" customHeight="1" x14ac:dyDescent="0.2">
      <c r="A9" s="20"/>
      <c r="B9" s="115">
        <v>2002</v>
      </c>
      <c r="C9" s="118">
        <v>83.786009240015701</v>
      </c>
      <c r="D9" s="118">
        <v>83.425089293789398</v>
      </c>
      <c r="E9" s="118">
        <v>94.796682396858102</v>
      </c>
      <c r="F9" s="118">
        <v>73.974446308051895</v>
      </c>
      <c r="G9" s="118">
        <v>93.825121884674502</v>
      </c>
      <c r="H9" s="118">
        <v>75.155207042888193</v>
      </c>
      <c r="I9" s="118">
        <v>89.632506229009806</v>
      </c>
      <c r="J9" s="118">
        <v>91.459350183292699</v>
      </c>
    </row>
    <row r="10" spans="1:10" ht="15" customHeight="1" x14ac:dyDescent="0.2">
      <c r="A10" s="20"/>
      <c r="B10" s="115">
        <v>2003</v>
      </c>
      <c r="C10" s="118">
        <v>83.526243165854297</v>
      </c>
      <c r="D10" s="118">
        <v>83.1663781253434</v>
      </c>
      <c r="E10" s="118">
        <v>101.441205756462</v>
      </c>
      <c r="F10" s="118">
        <v>77.150294556046703</v>
      </c>
      <c r="G10" s="118">
        <v>90.610910250882895</v>
      </c>
      <c r="H10" s="118">
        <v>73.291734984902305</v>
      </c>
      <c r="I10" s="118">
        <v>88.058119275984794</v>
      </c>
      <c r="J10" s="118">
        <v>91.230758598419598</v>
      </c>
    </row>
    <row r="11" spans="1:10" ht="15" customHeight="1" x14ac:dyDescent="0.2">
      <c r="A11" s="20"/>
      <c r="B11" s="115">
        <v>2004</v>
      </c>
      <c r="C11" s="118">
        <v>84.781107441077097</v>
      </c>
      <c r="D11" s="118">
        <v>84.753310711879493</v>
      </c>
      <c r="E11" s="118">
        <v>115.89301231928999</v>
      </c>
      <c r="F11" s="118">
        <v>80.163589928592302</v>
      </c>
      <c r="G11" s="118">
        <v>84.693519529448693</v>
      </c>
      <c r="H11" s="118">
        <v>77.106554656186901</v>
      </c>
      <c r="I11" s="118">
        <v>86.713924211727701</v>
      </c>
      <c r="J11" s="118">
        <v>92.576395931675705</v>
      </c>
    </row>
    <row r="12" spans="1:10" ht="15" customHeight="1" x14ac:dyDescent="0.2">
      <c r="A12" s="20"/>
      <c r="B12" s="115"/>
      <c r="C12" s="118"/>
      <c r="D12" s="118"/>
      <c r="E12" s="118"/>
      <c r="F12" s="118"/>
      <c r="G12" s="118"/>
      <c r="H12" s="118"/>
      <c r="I12" s="118"/>
      <c r="J12" s="118"/>
    </row>
    <row r="13" spans="1:10" ht="15" customHeight="1" x14ac:dyDescent="0.2">
      <c r="A13" s="20"/>
      <c r="B13" s="115">
        <v>2005</v>
      </c>
      <c r="C13" s="118">
        <v>85.124090724357103</v>
      </c>
      <c r="D13" s="118">
        <v>85.091451429718205</v>
      </c>
      <c r="E13" s="118">
        <v>79.195240877659401</v>
      </c>
      <c r="F13" s="118">
        <v>80.047914858653201</v>
      </c>
      <c r="G13" s="118">
        <v>86.835688051713504</v>
      </c>
      <c r="H13" s="118">
        <v>77.6345294242969</v>
      </c>
      <c r="I13" s="118">
        <v>88.5479365313995</v>
      </c>
      <c r="J13" s="118">
        <v>93.335833463324605</v>
      </c>
    </row>
    <row r="14" spans="1:10" ht="15" customHeight="1" x14ac:dyDescent="0.2">
      <c r="A14" s="20"/>
      <c r="B14" s="115">
        <v>2006</v>
      </c>
      <c r="C14" s="118">
        <v>87.360867948258203</v>
      </c>
      <c r="D14" s="118">
        <v>87.402757667175806</v>
      </c>
      <c r="E14" s="118">
        <v>87.159033532928603</v>
      </c>
      <c r="F14" s="118">
        <v>84.927901378646695</v>
      </c>
      <c r="G14" s="118">
        <v>89.227002708486495</v>
      </c>
      <c r="H14" s="118">
        <v>81.565231610480694</v>
      </c>
      <c r="I14" s="118">
        <v>88.937875051657798</v>
      </c>
      <c r="J14" s="118">
        <v>93.424041220347505</v>
      </c>
    </row>
    <row r="15" spans="1:10" ht="15" customHeight="1" x14ac:dyDescent="0.2">
      <c r="A15" s="20"/>
      <c r="B15" s="115">
        <v>2007</v>
      </c>
      <c r="C15" s="118">
        <v>88.172943123421206</v>
      </c>
      <c r="D15" s="118">
        <v>88.609669608564303</v>
      </c>
      <c r="E15" s="118">
        <v>81.428912962720105</v>
      </c>
      <c r="F15" s="118">
        <v>84.572302452813304</v>
      </c>
      <c r="G15" s="118">
        <v>83.3134019342599</v>
      </c>
      <c r="H15" s="118">
        <v>85.368087533616304</v>
      </c>
      <c r="I15" s="118">
        <v>90.650409584606706</v>
      </c>
      <c r="J15" s="118">
        <v>94.469768400600799</v>
      </c>
    </row>
    <row r="16" spans="1:10" ht="15" customHeight="1" x14ac:dyDescent="0.2">
      <c r="A16" s="20"/>
      <c r="B16" s="115">
        <v>2008</v>
      </c>
      <c r="C16" s="118">
        <v>90.3453751921503</v>
      </c>
      <c r="D16" s="118">
        <v>90.855669026122001</v>
      </c>
      <c r="E16" s="118">
        <v>101.899400078669</v>
      </c>
      <c r="F16" s="118">
        <v>84.929267018282104</v>
      </c>
      <c r="G16" s="118">
        <v>82.966599210350097</v>
      </c>
      <c r="H16" s="118">
        <v>91.376454773716205</v>
      </c>
      <c r="I16" s="118">
        <v>90.975717660628405</v>
      </c>
      <c r="J16" s="118">
        <v>95.850056265663198</v>
      </c>
    </row>
    <row r="17" spans="1:10" ht="15" customHeight="1" x14ac:dyDescent="0.2">
      <c r="A17" s="20"/>
      <c r="B17" s="115">
        <v>2009</v>
      </c>
      <c r="C17" s="118">
        <v>87.256850639802593</v>
      </c>
      <c r="D17" s="118">
        <v>87.124235881337697</v>
      </c>
      <c r="E17" s="118">
        <v>88.820751778785606</v>
      </c>
      <c r="F17" s="118">
        <v>71.752292909506494</v>
      </c>
      <c r="G17" s="118">
        <v>83.4954616086805</v>
      </c>
      <c r="H17" s="118">
        <v>89.818756282093403</v>
      </c>
      <c r="I17" s="118">
        <v>88.943087762931</v>
      </c>
      <c r="J17" s="118">
        <v>96.386552052445893</v>
      </c>
    </row>
    <row r="18" spans="1:10" ht="15" customHeight="1" x14ac:dyDescent="0.2">
      <c r="A18" s="20"/>
      <c r="B18" s="115"/>
      <c r="C18" s="118"/>
      <c r="D18" s="118"/>
      <c r="E18" s="118"/>
      <c r="F18" s="118"/>
      <c r="G18" s="118"/>
      <c r="H18" s="118"/>
      <c r="I18" s="118"/>
      <c r="J18" s="118"/>
    </row>
    <row r="19" spans="1:10" ht="15" customHeight="1" x14ac:dyDescent="0.2">
      <c r="A19" s="20"/>
      <c r="B19" s="115">
        <v>2010</v>
      </c>
      <c r="C19" s="118">
        <v>88.046118381109906</v>
      </c>
      <c r="D19" s="118">
        <v>88.2973570901475</v>
      </c>
      <c r="E19" s="118">
        <v>85.975639532871199</v>
      </c>
      <c r="F19" s="118">
        <v>76.432526630791699</v>
      </c>
      <c r="G19" s="118">
        <v>88.734070466150897</v>
      </c>
      <c r="H19" s="118">
        <v>84.738200358140304</v>
      </c>
      <c r="I19" s="118">
        <v>92.855137521756205</v>
      </c>
      <c r="J19" s="118">
        <v>96.985669448013297</v>
      </c>
    </row>
    <row r="20" spans="1:10" ht="15" customHeight="1" x14ac:dyDescent="0.2">
      <c r="A20" s="20"/>
      <c r="B20" s="115">
        <v>2011</v>
      </c>
      <c r="C20" s="118">
        <v>90.458420471951996</v>
      </c>
      <c r="D20" s="118">
        <v>90.709979795618906</v>
      </c>
      <c r="E20" s="118">
        <v>87.332996694174895</v>
      </c>
      <c r="F20" s="118">
        <v>80.735034121287896</v>
      </c>
      <c r="G20" s="118">
        <v>89.285313970062603</v>
      </c>
      <c r="H20" s="118">
        <v>89.646230655426805</v>
      </c>
      <c r="I20" s="118">
        <v>92.044569960078803</v>
      </c>
      <c r="J20" s="118">
        <v>99.116210701167404</v>
      </c>
    </row>
    <row r="21" spans="1:10" ht="15" customHeight="1" x14ac:dyDescent="0.2">
      <c r="A21" s="20"/>
      <c r="B21" s="115">
        <v>2012</v>
      </c>
      <c r="C21" s="118">
        <v>92.671728412324896</v>
      </c>
      <c r="D21" s="118">
        <v>92.962943752844396</v>
      </c>
      <c r="E21" s="118">
        <v>85.220415332048802</v>
      </c>
      <c r="F21" s="118">
        <v>84.827668643837299</v>
      </c>
      <c r="G21" s="118">
        <v>92.653655441517301</v>
      </c>
      <c r="H21" s="118">
        <v>94.695386174496093</v>
      </c>
      <c r="I21" s="118">
        <v>93.525115786733394</v>
      </c>
      <c r="J21" s="118">
        <v>98.173636225146893</v>
      </c>
    </row>
    <row r="22" spans="1:10" ht="15" customHeight="1" x14ac:dyDescent="0.2">
      <c r="A22" s="20"/>
      <c r="B22" s="115">
        <v>2013</v>
      </c>
      <c r="C22" s="118">
        <v>91.727189974756399</v>
      </c>
      <c r="D22" s="118">
        <v>92.081299573725801</v>
      </c>
      <c r="E22" s="118">
        <v>81.620149760680803</v>
      </c>
      <c r="F22" s="118">
        <v>83.974811545618607</v>
      </c>
      <c r="G22" s="118">
        <v>93.420668683512403</v>
      </c>
      <c r="H22" s="118">
        <v>92.480617981633699</v>
      </c>
      <c r="I22" s="118">
        <v>95.769677318445503</v>
      </c>
      <c r="J22" s="118">
        <v>95.234615984782806</v>
      </c>
    </row>
    <row r="23" spans="1:10" ht="15" customHeight="1" x14ac:dyDescent="0.2">
      <c r="A23" s="20"/>
      <c r="B23" s="115">
        <v>2014</v>
      </c>
      <c r="C23" s="118">
        <v>93.132739214620401</v>
      </c>
      <c r="D23" s="118">
        <v>93.551394193532602</v>
      </c>
      <c r="E23" s="118">
        <v>95.617499033510896</v>
      </c>
      <c r="F23" s="118">
        <v>87.006473422169904</v>
      </c>
      <c r="G23" s="118">
        <v>92.967514958303695</v>
      </c>
      <c r="H23" s="118">
        <v>93.831071102724394</v>
      </c>
      <c r="I23" s="118">
        <v>96.815361623006098</v>
      </c>
      <c r="J23" s="118">
        <v>95.417879505248095</v>
      </c>
    </row>
    <row r="24" spans="1:10" ht="15" customHeight="1" x14ac:dyDescent="0.2">
      <c r="A24" s="20"/>
      <c r="B24" s="115"/>
      <c r="C24" s="118"/>
      <c r="D24" s="118"/>
      <c r="E24" s="118"/>
      <c r="F24" s="118"/>
      <c r="G24" s="118"/>
      <c r="H24" s="118"/>
      <c r="I24" s="118"/>
      <c r="J24" s="118"/>
    </row>
    <row r="25" spans="1:10" ht="15" customHeight="1" x14ac:dyDescent="0.2">
      <c r="A25" s="20"/>
      <c r="B25" s="115">
        <v>2015</v>
      </c>
      <c r="C25" s="118">
        <v>94.097187517025702</v>
      </c>
      <c r="D25" s="118">
        <v>94.312373636908305</v>
      </c>
      <c r="E25" s="118">
        <v>72.526365261790502</v>
      </c>
      <c r="F25" s="118">
        <v>86.316776567970706</v>
      </c>
      <c r="G25" s="118">
        <v>90.659412923338195</v>
      </c>
      <c r="H25" s="118">
        <v>95.399692282510898</v>
      </c>
      <c r="I25" s="118">
        <v>99.170082042214503</v>
      </c>
      <c r="J25" s="118">
        <v>97.199514913519394</v>
      </c>
    </row>
    <row r="26" spans="1:10" ht="15" customHeight="1" x14ac:dyDescent="0.2">
      <c r="A26" s="20"/>
      <c r="B26" s="115">
        <v>2016</v>
      </c>
      <c r="C26" s="118">
        <v>96.265213905159001</v>
      </c>
      <c r="D26" s="118">
        <v>96.572696779878598</v>
      </c>
      <c r="E26" s="118">
        <v>67.981479010781996</v>
      </c>
      <c r="F26" s="118">
        <v>91.6539716636522</v>
      </c>
      <c r="G26" s="118">
        <v>91.508679267944501</v>
      </c>
      <c r="H26" s="118">
        <v>98.306397291872301</v>
      </c>
      <c r="I26" s="118">
        <v>99.570195738992297</v>
      </c>
      <c r="J26" s="118">
        <v>98.952781900688095</v>
      </c>
    </row>
    <row r="27" spans="1:10" ht="15" customHeight="1" x14ac:dyDescent="0.2">
      <c r="A27" s="20"/>
      <c r="B27" s="115">
        <v>2017</v>
      </c>
      <c r="C27" s="118">
        <v>99.294532422780406</v>
      </c>
      <c r="D27" s="118">
        <v>99.697602162968295</v>
      </c>
      <c r="E27" s="118">
        <v>86.640517075447605</v>
      </c>
      <c r="F27" s="118">
        <v>97.885052152612005</v>
      </c>
      <c r="G27" s="118">
        <v>94.465602100231706</v>
      </c>
      <c r="H27" s="118">
        <v>102.11901711561801</v>
      </c>
      <c r="I27" s="118">
        <v>99.903416417314901</v>
      </c>
      <c r="J27" s="118">
        <v>100.903841664721</v>
      </c>
    </row>
    <row r="28" spans="1:10" ht="15" customHeight="1" x14ac:dyDescent="0.2">
      <c r="A28" s="20"/>
      <c r="B28" s="115">
        <v>2018</v>
      </c>
      <c r="C28" s="118">
        <v>99.949640767759007</v>
      </c>
      <c r="D28" s="118">
        <v>100.434971602651</v>
      </c>
      <c r="E28" s="118">
        <v>67.335688357090703</v>
      </c>
      <c r="F28" s="118">
        <v>97.983136793319105</v>
      </c>
      <c r="G28" s="118">
        <v>99.797226051823202</v>
      </c>
      <c r="H28" s="118">
        <v>104.59981728031499</v>
      </c>
      <c r="I28" s="118">
        <v>100.712755045617</v>
      </c>
      <c r="J28" s="118">
        <v>101.00492967629</v>
      </c>
    </row>
    <row r="29" spans="1:10" ht="15" customHeight="1" x14ac:dyDescent="0.2">
      <c r="A29" s="20"/>
      <c r="B29" s="115">
        <v>2019</v>
      </c>
      <c r="C29" s="118">
        <v>102.250028669949</v>
      </c>
      <c r="D29" s="118">
        <v>102.451853651584</v>
      </c>
      <c r="E29" s="118">
        <v>88.520726151893498</v>
      </c>
      <c r="F29" s="118">
        <v>99.895172726128806</v>
      </c>
      <c r="G29" s="118">
        <v>98.071314934930896</v>
      </c>
      <c r="H29" s="118">
        <v>107.875664060914</v>
      </c>
      <c r="I29" s="118">
        <v>100.942564812192</v>
      </c>
      <c r="J29" s="118">
        <v>103.115067764809</v>
      </c>
    </row>
    <row r="30" spans="1:10" ht="15" customHeight="1" x14ac:dyDescent="0.2">
      <c r="A30" s="20"/>
      <c r="B30" s="115"/>
      <c r="C30" s="118"/>
      <c r="D30" s="118"/>
      <c r="E30" s="118"/>
      <c r="F30" s="118"/>
      <c r="G30" s="118"/>
      <c r="H30" s="118"/>
      <c r="I30" s="118"/>
      <c r="J30" s="118"/>
    </row>
    <row r="31" spans="1:10" ht="15" customHeight="1" x14ac:dyDescent="0.2">
      <c r="A31" s="20"/>
      <c r="B31" s="115">
        <v>2020</v>
      </c>
      <c r="C31" s="118">
        <v>100</v>
      </c>
      <c r="D31" s="118">
        <v>100</v>
      </c>
      <c r="E31" s="118">
        <v>100</v>
      </c>
      <c r="F31" s="118">
        <v>100</v>
      </c>
      <c r="G31" s="118">
        <v>100</v>
      </c>
      <c r="H31" s="118">
        <v>100</v>
      </c>
      <c r="I31" s="118">
        <v>100</v>
      </c>
      <c r="J31" s="118">
        <v>100</v>
      </c>
    </row>
    <row r="32" spans="1:10" ht="15" customHeight="1" x14ac:dyDescent="0.2">
      <c r="A32" s="20"/>
      <c r="B32" s="115">
        <v>2021</v>
      </c>
      <c r="C32" s="118">
        <v>99.693561607190503</v>
      </c>
      <c r="D32" s="118">
        <v>99.819579803176893</v>
      </c>
      <c r="E32" s="118">
        <v>102.294301715289</v>
      </c>
      <c r="F32" s="118">
        <v>96.189551753019202</v>
      </c>
      <c r="G32" s="118">
        <v>94.205019952883404</v>
      </c>
      <c r="H32" s="118">
        <v>98.295227892416804</v>
      </c>
      <c r="I32" s="118">
        <v>103.402612804914</v>
      </c>
      <c r="J32" s="118">
        <v>101.569129967393</v>
      </c>
    </row>
    <row r="33" spans="1:10" ht="15" customHeight="1" x14ac:dyDescent="0.2">
      <c r="A33" s="20"/>
      <c r="B33" s="115">
        <v>2022</v>
      </c>
      <c r="C33" s="118">
        <v>100.916265193344</v>
      </c>
      <c r="D33" s="118">
        <v>101.407517182622</v>
      </c>
      <c r="E33" s="118">
        <v>118.75146489565201</v>
      </c>
      <c r="F33" s="118">
        <v>87.492744017764906</v>
      </c>
      <c r="G33" s="118">
        <v>85.935955258020698</v>
      </c>
      <c r="H33" s="118">
        <v>99.860999445041301</v>
      </c>
      <c r="I33" s="118">
        <v>108.481792237793</v>
      </c>
      <c r="J33" s="118">
        <v>109.08320009869399</v>
      </c>
    </row>
    <row r="34" spans="1:10" ht="15" customHeight="1" x14ac:dyDescent="0.2">
      <c r="A34" s="20"/>
      <c r="B34" s="115">
        <v>2023</v>
      </c>
      <c r="C34" s="118">
        <v>100.18027083056499</v>
      </c>
      <c r="D34" s="118">
        <v>101.160751172617</v>
      </c>
      <c r="E34" s="118">
        <v>102.377793808224</v>
      </c>
      <c r="F34" s="118">
        <v>89.031689386174804</v>
      </c>
      <c r="G34" s="118">
        <v>84.433871804874002</v>
      </c>
      <c r="H34" s="118">
        <v>97.457511707314694</v>
      </c>
      <c r="I34" s="118">
        <v>108.79217779708701</v>
      </c>
      <c r="J34" s="118">
        <v>110.580633305994</v>
      </c>
    </row>
    <row r="35" spans="1:10" ht="15" customHeight="1" x14ac:dyDescent="0.2">
      <c r="A35" s="20"/>
      <c r="B35" s="115">
        <v>2024</v>
      </c>
      <c r="C35" s="118">
        <v>101.356211703498</v>
      </c>
      <c r="D35" s="118">
        <v>102.305167003951</v>
      </c>
      <c r="E35" s="118">
        <v>104.269675369165</v>
      </c>
      <c r="F35" s="118">
        <v>90.967878553930404</v>
      </c>
      <c r="G35" s="118">
        <v>80.353743464176702</v>
      </c>
      <c r="H35" s="118">
        <v>97.357522598448597</v>
      </c>
      <c r="I35" s="118">
        <v>109.55704678782701</v>
      </c>
      <c r="J35" s="118">
        <v>113.961104408069</v>
      </c>
    </row>
    <row r="36" spans="1:10" s="101" customFormat="1" ht="15" customHeight="1" x14ac:dyDescent="0.2">
      <c r="A36" s="20"/>
      <c r="B36" s="115"/>
      <c r="C36" s="389" t="s">
        <v>8</v>
      </c>
      <c r="D36" s="389"/>
      <c r="E36" s="389"/>
      <c r="F36" s="389"/>
      <c r="G36" s="389"/>
      <c r="H36" s="389"/>
      <c r="I36" s="389"/>
      <c r="J36" s="389"/>
    </row>
    <row r="37" spans="1:10" ht="15" customHeight="1" x14ac:dyDescent="0.2">
      <c r="A37" s="20"/>
      <c r="B37" s="115">
        <v>2001</v>
      </c>
      <c r="C37" s="357">
        <v>1.2407107834710445</v>
      </c>
      <c r="D37" s="357">
        <v>1.5645162671622614</v>
      </c>
      <c r="E37" s="357">
        <v>-8.3873638892335549</v>
      </c>
      <c r="F37" s="357">
        <v>7.451620822561722E-2</v>
      </c>
      <c r="G37" s="357">
        <v>-7.4787924426377259</v>
      </c>
      <c r="H37" s="357">
        <v>7.7239811513986041</v>
      </c>
      <c r="I37" s="357">
        <v>0.2746141551739214</v>
      </c>
      <c r="J37" s="357">
        <v>1.0943756057652507</v>
      </c>
    </row>
    <row r="38" spans="1:10" ht="15" customHeight="1" x14ac:dyDescent="0.2">
      <c r="A38" s="20"/>
      <c r="B38" s="115">
        <v>2002</v>
      </c>
      <c r="C38" s="357">
        <v>-1.9558630785961668</v>
      </c>
      <c r="D38" s="357">
        <v>-1.6775349124895058</v>
      </c>
      <c r="E38" s="357">
        <v>-5.9445413235426514</v>
      </c>
      <c r="F38" s="357">
        <v>-5.3666860785356363</v>
      </c>
      <c r="G38" s="357">
        <v>-1.9542702940671575</v>
      </c>
      <c r="H38" s="357">
        <v>1.5020820159146524</v>
      </c>
      <c r="I38" s="357">
        <v>-2.5512339655654728</v>
      </c>
      <c r="J38" s="357">
        <v>-0.52943873565673982</v>
      </c>
    </row>
    <row r="39" spans="1:10" ht="15" customHeight="1" x14ac:dyDescent="0.2">
      <c r="A39" s="20"/>
      <c r="B39" s="115">
        <v>2003</v>
      </c>
      <c r="C39" s="357">
        <v>-0.31003514371626295</v>
      </c>
      <c r="D39" s="357">
        <v>-0.31011194670097098</v>
      </c>
      <c r="E39" s="357">
        <v>7.0092361795818761</v>
      </c>
      <c r="F39" s="357">
        <v>4.2931693395441073</v>
      </c>
      <c r="G39" s="357">
        <v>-3.425747357666495</v>
      </c>
      <c r="H39" s="357">
        <v>-2.4794982693913425</v>
      </c>
      <c r="I39" s="357">
        <v>-1.7564910535944165</v>
      </c>
      <c r="J39" s="357">
        <v>-0.24993790620092682</v>
      </c>
    </row>
    <row r="40" spans="1:10" ht="15" customHeight="1" x14ac:dyDescent="0.2">
      <c r="A40" s="20"/>
      <c r="B40" s="115">
        <v>2004</v>
      </c>
      <c r="C40" s="357">
        <v>1.5023592917151376</v>
      </c>
      <c r="D40" s="357">
        <v>1.9081419947666376</v>
      </c>
      <c r="E40" s="357">
        <v>14.246485395218585</v>
      </c>
      <c r="F40" s="357">
        <v>3.9057470744412512</v>
      </c>
      <c r="G40" s="357">
        <v>-6.5305499139675049</v>
      </c>
      <c r="H40" s="357">
        <v>5.2049793500869157</v>
      </c>
      <c r="I40" s="357">
        <v>-1.5264862289918142</v>
      </c>
      <c r="J40" s="357">
        <v>1.4749820717586601</v>
      </c>
    </row>
    <row r="41" spans="1:10" ht="15" customHeight="1" x14ac:dyDescent="0.2">
      <c r="A41" s="20"/>
      <c r="B41" s="115">
        <v>2005</v>
      </c>
      <c r="C41" s="357">
        <v>0.4045515488440401</v>
      </c>
      <c r="D41" s="357">
        <v>0.39897051218237323</v>
      </c>
      <c r="E41" s="357">
        <v>-31.665214931618763</v>
      </c>
      <c r="F41" s="357">
        <v>-0.14429876461638003</v>
      </c>
      <c r="G41" s="357">
        <v>2.5293181038721002</v>
      </c>
      <c r="H41" s="357">
        <v>0.68473396388179708</v>
      </c>
      <c r="I41" s="357">
        <v>2.115014787237314</v>
      </c>
      <c r="J41" s="357">
        <v>0.8203360305896723</v>
      </c>
    </row>
    <row r="42" spans="1:10" ht="15" customHeight="1" x14ac:dyDescent="0.2">
      <c r="A42" s="20"/>
      <c r="B42" s="115"/>
      <c r="C42" s="357"/>
      <c r="D42" s="357"/>
      <c r="E42" s="357"/>
      <c r="F42" s="357"/>
      <c r="G42" s="357"/>
      <c r="H42" s="357"/>
      <c r="I42" s="357"/>
      <c r="J42" s="357"/>
    </row>
    <row r="43" spans="1:10" ht="15" customHeight="1" x14ac:dyDescent="0.2">
      <c r="A43" s="20"/>
      <c r="B43" s="115">
        <v>2006</v>
      </c>
      <c r="C43" s="357">
        <v>2.6276665099942988</v>
      </c>
      <c r="D43" s="357">
        <v>2.716261385395029</v>
      </c>
      <c r="E43" s="357">
        <v>10.055898014846179</v>
      </c>
      <c r="F43" s="357">
        <v>6.096331839012251</v>
      </c>
      <c r="G43" s="357">
        <v>2.7538385546607032</v>
      </c>
      <c r="H43" s="357">
        <v>5.0630849640387225</v>
      </c>
      <c r="I43" s="357">
        <v>0.44036996855372479</v>
      </c>
      <c r="J43" s="357">
        <v>9.4505779559526104E-2</v>
      </c>
    </row>
    <row r="44" spans="1:10" ht="15" customHeight="1" x14ac:dyDescent="0.2">
      <c r="A44" s="20"/>
      <c r="B44" s="115">
        <v>2007</v>
      </c>
      <c r="C44" s="357">
        <v>0.92956399614067209</v>
      </c>
      <c r="D44" s="357">
        <v>1.3808625421000471</v>
      </c>
      <c r="E44" s="357">
        <v>-6.5743277982122947</v>
      </c>
      <c r="F44" s="357">
        <v>-0.41870683257315022</v>
      </c>
      <c r="G44" s="357">
        <v>-6.6275909699073168</v>
      </c>
      <c r="H44" s="357">
        <v>4.6623491995907784</v>
      </c>
      <c r="I44" s="357">
        <v>1.9255401952815134</v>
      </c>
      <c r="J44" s="357">
        <v>1.1193341313365721</v>
      </c>
    </row>
    <row r="45" spans="1:10" ht="15" customHeight="1" x14ac:dyDescent="0.2">
      <c r="A45" s="20"/>
      <c r="B45" s="115">
        <v>2008</v>
      </c>
      <c r="C45" s="357">
        <v>2.4638307305770724</v>
      </c>
      <c r="D45" s="357">
        <v>2.5347114231205836</v>
      </c>
      <c r="E45" s="357">
        <v>25.139089263442244</v>
      </c>
      <c r="F45" s="357">
        <v>0.42208211804090467</v>
      </c>
      <c r="G45" s="357">
        <v>-0.4162628290985424</v>
      </c>
      <c r="H45" s="357">
        <v>7.0381888755958499</v>
      </c>
      <c r="I45" s="357">
        <v>0.35886001785581811</v>
      </c>
      <c r="J45" s="357">
        <v>1.4610894981866238</v>
      </c>
    </row>
    <row r="46" spans="1:10" ht="15" customHeight="1" x14ac:dyDescent="0.2">
      <c r="A46" s="20"/>
      <c r="B46" s="115">
        <v>2009</v>
      </c>
      <c r="C46" s="357">
        <v>-3.4185751575870995</v>
      </c>
      <c r="D46" s="357">
        <v>-4.1069898937307698</v>
      </c>
      <c r="E46" s="357">
        <v>-12.834862903791731</v>
      </c>
      <c r="F46" s="357">
        <v>-15.515233524786098</v>
      </c>
      <c r="G46" s="357">
        <v>0.63744013056333415</v>
      </c>
      <c r="H46" s="357">
        <v>-1.7047044509225913</v>
      </c>
      <c r="I46" s="357">
        <v>-2.2342554144830444</v>
      </c>
      <c r="J46" s="357">
        <v>0.55972401862312893</v>
      </c>
    </row>
    <row r="47" spans="1:10" ht="15" customHeight="1" x14ac:dyDescent="0.2">
      <c r="A47" s="20"/>
      <c r="B47" s="115">
        <v>2010</v>
      </c>
      <c r="C47" s="357">
        <v>0.90453383948661781</v>
      </c>
      <c r="D47" s="357">
        <v>1.3464923932389894</v>
      </c>
      <c r="E47" s="357">
        <v>-3.203206670666745</v>
      </c>
      <c r="F47" s="357">
        <v>6.5227653800386349</v>
      </c>
      <c r="G47" s="357">
        <v>6.2741240739793369</v>
      </c>
      <c r="H47" s="357">
        <v>-5.6564532111718506</v>
      </c>
      <c r="I47" s="357">
        <v>4.398374125769493</v>
      </c>
      <c r="J47" s="357">
        <v>0.62157778529251573</v>
      </c>
    </row>
    <row r="48" spans="1:10" ht="15" customHeight="1" x14ac:dyDescent="0.2">
      <c r="A48" s="20"/>
      <c r="B48" s="115"/>
      <c r="C48" s="357"/>
      <c r="D48" s="357"/>
      <c r="E48" s="357"/>
      <c r="F48" s="357"/>
      <c r="G48" s="357"/>
      <c r="H48" s="357"/>
      <c r="I48" s="357"/>
      <c r="J48" s="357"/>
    </row>
    <row r="49" spans="1:10" ht="15" customHeight="1" x14ac:dyDescent="0.2">
      <c r="A49" s="20"/>
      <c r="B49" s="115">
        <v>2011</v>
      </c>
      <c r="C49" s="357">
        <v>2.7398165134326291</v>
      </c>
      <c r="D49" s="357">
        <v>2.7323838277608132</v>
      </c>
      <c r="E49" s="357">
        <v>1.5787694847965952</v>
      </c>
      <c r="F49" s="357">
        <v>5.6291577423307189</v>
      </c>
      <c r="G49" s="357">
        <v>0.62123094434396364</v>
      </c>
      <c r="H49" s="357">
        <v>5.7919926037407521</v>
      </c>
      <c r="I49" s="357">
        <v>-0.8729377644693983</v>
      </c>
      <c r="J49" s="357">
        <v>2.1967588255872386</v>
      </c>
    </row>
    <row r="50" spans="1:10" ht="15" customHeight="1" x14ac:dyDescent="0.2">
      <c r="A50" s="20"/>
      <c r="B50" s="115">
        <v>2012</v>
      </c>
      <c r="C50" s="357">
        <v>2.4467682818529539</v>
      </c>
      <c r="D50" s="357">
        <v>2.4837002084023254</v>
      </c>
      <c r="E50" s="357">
        <v>-2.4189956168846436</v>
      </c>
      <c r="F50" s="357">
        <v>5.0692175547991383</v>
      </c>
      <c r="G50" s="357">
        <v>3.7725593624323182</v>
      </c>
      <c r="H50" s="357">
        <v>5.6323121252880384</v>
      </c>
      <c r="I50" s="357">
        <v>1.6085096897043627</v>
      </c>
      <c r="J50" s="357">
        <v>-0.95097912778601312</v>
      </c>
    </row>
    <row r="51" spans="1:10" ht="15" customHeight="1" x14ac:dyDescent="0.2">
      <c r="A51" s="20"/>
      <c r="B51" s="115">
        <v>2013</v>
      </c>
      <c r="C51" s="357">
        <v>-1.0192304101267524</v>
      </c>
      <c r="D51" s="357">
        <v>-0.94838238068554404</v>
      </c>
      <c r="E51" s="357">
        <v>-4.2246515196389112</v>
      </c>
      <c r="F51" s="357">
        <v>-1.005399667176448</v>
      </c>
      <c r="G51" s="357">
        <v>0.82782836612337007</v>
      </c>
      <c r="H51" s="357">
        <v>-2.338834321643958</v>
      </c>
      <c r="I51" s="357">
        <v>2.3999558972270165</v>
      </c>
      <c r="J51" s="357">
        <v>-2.9936960200026306</v>
      </c>
    </row>
    <row r="52" spans="1:10" ht="15" customHeight="1" x14ac:dyDescent="0.2">
      <c r="B52" s="115">
        <v>2014</v>
      </c>
      <c r="C52" s="357">
        <v>1.5323147261469643</v>
      </c>
      <c r="D52" s="357">
        <v>1.5965181058611648</v>
      </c>
      <c r="E52" s="357">
        <v>17.149379551338555</v>
      </c>
      <c r="F52" s="357">
        <v>3.6102038465479325</v>
      </c>
      <c r="G52" s="357">
        <v>-0.48506795294292715</v>
      </c>
      <c r="H52" s="357">
        <v>1.4602552951785981</v>
      </c>
      <c r="I52" s="357">
        <v>1.0918741023670577</v>
      </c>
      <c r="J52" s="357">
        <v>0.19243372650819879</v>
      </c>
    </row>
    <row r="53" spans="1:10" ht="15" customHeight="1" x14ac:dyDescent="0.2">
      <c r="B53" s="115">
        <v>2015</v>
      </c>
      <c r="C53" s="357">
        <v>1.0355631226337891</v>
      </c>
      <c r="D53" s="357">
        <v>0.81343463658215853</v>
      </c>
      <c r="E53" s="357">
        <v>-24.149485193738101</v>
      </c>
      <c r="F53" s="357">
        <v>-0.79269602257372185</v>
      </c>
      <c r="G53" s="357">
        <v>-2.4826973550930092</v>
      </c>
      <c r="H53" s="357">
        <v>1.6717502649726868</v>
      </c>
      <c r="I53" s="357">
        <v>2.432176443628407</v>
      </c>
      <c r="J53" s="357">
        <v>1.8671924145760386</v>
      </c>
    </row>
    <row r="54" spans="1:10" ht="15" customHeight="1" x14ac:dyDescent="0.2">
      <c r="B54" s="115"/>
      <c r="C54" s="357"/>
      <c r="D54" s="357"/>
      <c r="E54" s="357"/>
      <c r="F54" s="357"/>
      <c r="G54" s="357"/>
      <c r="H54" s="357"/>
      <c r="I54" s="357"/>
      <c r="J54" s="357"/>
    </row>
    <row r="55" spans="1:10" ht="15" customHeight="1" x14ac:dyDescent="0.2">
      <c r="B55" s="115">
        <v>2016</v>
      </c>
      <c r="C55" s="357">
        <v>2.3040288932557331</v>
      </c>
      <c r="D55" s="357">
        <v>2.3966347742156131</v>
      </c>
      <c r="E55" s="357">
        <v>-6.2665297434985519</v>
      </c>
      <c r="F55" s="357">
        <v>6.1832650706999885</v>
      </c>
      <c r="G55" s="357">
        <v>0.93676576675434831</v>
      </c>
      <c r="H55" s="357">
        <v>3.0468704246484037</v>
      </c>
      <c r="I55" s="357">
        <v>0.40346210120858927</v>
      </c>
      <c r="J55" s="357">
        <v>1.8037816224994714</v>
      </c>
    </row>
    <row r="56" spans="1:10" ht="15" customHeight="1" x14ac:dyDescent="0.2">
      <c r="B56" s="115">
        <v>2017</v>
      </c>
      <c r="C56" s="357">
        <v>3.1468465032508135</v>
      </c>
      <c r="D56" s="357">
        <v>3.2358062757762553</v>
      </c>
      <c r="E56" s="357">
        <v>27.447237594972378</v>
      </c>
      <c r="F56" s="357">
        <v>6.7984838800290674</v>
      </c>
      <c r="G56" s="357">
        <v>3.23130314626124</v>
      </c>
      <c r="H56" s="357">
        <v>3.8783028661156322</v>
      </c>
      <c r="I56" s="357">
        <v>0.33465905721033096</v>
      </c>
      <c r="J56" s="357">
        <v>1.9717078454560806</v>
      </c>
    </row>
    <row r="57" spans="1:10" ht="15" customHeight="1" x14ac:dyDescent="0.2">
      <c r="B57" s="115">
        <v>2018</v>
      </c>
      <c r="C57" s="357">
        <v>0.6597627573180489</v>
      </c>
      <c r="D57" s="357">
        <v>0.73960599220569634</v>
      </c>
      <c r="E57" s="357">
        <v>-22.281525284003123</v>
      </c>
      <c r="F57" s="357">
        <v>0.10020390095330356</v>
      </c>
      <c r="G57" s="357">
        <v>5.6439845118802481</v>
      </c>
      <c r="H57" s="357">
        <v>2.4293224070970609</v>
      </c>
      <c r="I57" s="357">
        <v>0.81012107225777186</v>
      </c>
      <c r="J57" s="357">
        <v>0.10018252021058061</v>
      </c>
    </row>
    <row r="58" spans="1:10" ht="15" customHeight="1" x14ac:dyDescent="0.2">
      <c r="B58" s="115">
        <v>2019</v>
      </c>
      <c r="C58" s="357">
        <v>2.3015469435604388</v>
      </c>
      <c r="D58" s="357">
        <v>2.0081471789650607</v>
      </c>
      <c r="E58" s="357">
        <v>31.461827021735559</v>
      </c>
      <c r="F58" s="357">
        <v>1.9513928573677504</v>
      </c>
      <c r="G58" s="357">
        <v>-1.7294179259011457</v>
      </c>
      <c r="H58" s="357">
        <v>3.1317901558280283</v>
      </c>
      <c r="I58" s="357">
        <v>0.22818337803478528</v>
      </c>
      <c r="J58" s="357">
        <v>2.0891436638605256</v>
      </c>
    </row>
    <row r="59" spans="1:10" ht="15" customHeight="1" x14ac:dyDescent="0.2">
      <c r="B59" s="115">
        <v>2020</v>
      </c>
      <c r="C59" s="357">
        <v>-2.2005164196205982</v>
      </c>
      <c r="D59" s="357">
        <v>-2.3931764669892743</v>
      </c>
      <c r="E59" s="357">
        <v>12.967893901377536</v>
      </c>
      <c r="F59" s="357">
        <v>0.10493727675769549</v>
      </c>
      <c r="G59" s="357">
        <v>1.9666148724005268</v>
      </c>
      <c r="H59" s="357">
        <v>-7.3006865167169366</v>
      </c>
      <c r="I59" s="357">
        <v>-0.93376348614252436</v>
      </c>
      <c r="J59" s="357">
        <v>-3.0209627286615728</v>
      </c>
    </row>
    <row r="60" spans="1:10" ht="15" customHeight="1" x14ac:dyDescent="0.2">
      <c r="B60" s="115"/>
      <c r="C60" s="357"/>
      <c r="D60" s="357"/>
      <c r="E60" s="357"/>
      <c r="F60" s="357"/>
      <c r="G60" s="357"/>
      <c r="H60" s="357"/>
      <c r="I60" s="357"/>
      <c r="J60" s="357"/>
    </row>
    <row r="61" spans="1:10" ht="15" customHeight="1" x14ac:dyDescent="0.2">
      <c r="A61" s="20"/>
      <c r="B61" s="115">
        <v>2021</v>
      </c>
      <c r="C61" s="357">
        <v>-0.30643839280951113</v>
      </c>
      <c r="D61" s="357">
        <v>-0.18042019682310695</v>
      </c>
      <c r="E61" s="357">
        <v>2.2943017152890093</v>
      </c>
      <c r="F61" s="357">
        <v>-3.8104482469807976</v>
      </c>
      <c r="G61" s="357">
        <v>-5.7949800471165815</v>
      </c>
      <c r="H61" s="357">
        <v>-1.7047721075831959</v>
      </c>
      <c r="I61" s="357">
        <v>3.4026128049139999</v>
      </c>
      <c r="J61" s="357">
        <v>1.5691299673929962</v>
      </c>
    </row>
    <row r="62" spans="1:10" ht="15" customHeight="1" x14ac:dyDescent="0.2">
      <c r="A62" s="20"/>
      <c r="B62" s="115">
        <v>2022</v>
      </c>
      <c r="C62" s="357">
        <v>1.2264619363998293</v>
      </c>
      <c r="D62" s="357">
        <v>1.5908075174992575</v>
      </c>
      <c r="E62" s="357">
        <v>16.088054666199753</v>
      </c>
      <c r="F62" s="357">
        <v>-9.0413226558999042</v>
      </c>
      <c r="G62" s="357">
        <v>-8.777732544399953</v>
      </c>
      <c r="H62" s="357">
        <v>1.5929273335000858</v>
      </c>
      <c r="I62" s="357">
        <v>4.9120416739001627</v>
      </c>
      <c r="J62" s="357">
        <v>7.3979861141995258</v>
      </c>
    </row>
    <row r="63" spans="1:10" ht="15" customHeight="1" x14ac:dyDescent="0.2">
      <c r="A63" s="20"/>
      <c r="B63" s="115">
        <v>2023</v>
      </c>
      <c r="C63" s="357">
        <v>-0.72931193140068729</v>
      </c>
      <c r="D63" s="357">
        <v>-0.24334094440021659</v>
      </c>
      <c r="E63" s="357">
        <v>-13.788184509400125</v>
      </c>
      <c r="F63" s="357">
        <v>1.7589405678000247</v>
      </c>
      <c r="G63" s="357">
        <v>-1.7479103463000172</v>
      </c>
      <c r="H63" s="357">
        <v>-2.4068332493000639</v>
      </c>
      <c r="I63" s="357">
        <v>0.28611765430058256</v>
      </c>
      <c r="J63" s="357">
        <v>1.3727441127003885</v>
      </c>
    </row>
    <row r="64" spans="1:10" ht="15" customHeight="1" x14ac:dyDescent="0.2">
      <c r="A64" s="20"/>
      <c r="B64" s="115">
        <v>2024</v>
      </c>
      <c r="C64" s="357">
        <v>1.1738248092000987</v>
      </c>
      <c r="D64" s="357">
        <v>1.1312844340007047</v>
      </c>
      <c r="E64" s="357">
        <v>1.8479413264998783</v>
      </c>
      <c r="F64" s="357">
        <v>2.1747191152999221</v>
      </c>
      <c r="G64" s="357">
        <v>-4.8323359494000755</v>
      </c>
      <c r="H64" s="357">
        <v>-0.10259764189997611</v>
      </c>
      <c r="I64" s="357">
        <v>0.70305513339992842</v>
      </c>
      <c r="J64" s="357">
        <v>3.0570191189995342</v>
      </c>
    </row>
    <row r="65" spans="1:10" s="101" customFormat="1" ht="15" customHeight="1" x14ac:dyDescent="0.2">
      <c r="A65" s="20"/>
      <c r="B65" s="115"/>
      <c r="C65" s="389" t="s">
        <v>214</v>
      </c>
      <c r="D65" s="389"/>
      <c r="E65" s="389"/>
      <c r="F65" s="389"/>
      <c r="G65" s="389"/>
      <c r="H65" s="389"/>
      <c r="I65" s="389"/>
      <c r="J65" s="389"/>
    </row>
    <row r="66" spans="1:10" ht="15" customHeight="1" x14ac:dyDescent="0.2">
      <c r="B66" s="115">
        <v>2000</v>
      </c>
      <c r="C66" s="118">
        <v>94.380651298801595</v>
      </c>
      <c r="D66" s="118">
        <v>93.409316749601857</v>
      </c>
      <c r="E66" s="118">
        <v>101.7776339027361</v>
      </c>
      <c r="F66" s="118">
        <v>77.058758603158154</v>
      </c>
      <c r="G66" s="118">
        <v>106.6195466723652</v>
      </c>
      <c r="H66" s="118">
        <v>72.808988995122604</v>
      </c>
      <c r="I66" s="118">
        <v>119.5695973201796</v>
      </c>
      <c r="J66" s="118">
        <v>108.3702392500914</v>
      </c>
    </row>
    <row r="67" spans="1:10" ht="15" customHeight="1" x14ac:dyDescent="0.2">
      <c r="B67" s="115">
        <v>2001</v>
      </c>
      <c r="C67" s="118">
        <v>95.355059390248115</v>
      </c>
      <c r="D67" s="118">
        <v>94.675538769884696</v>
      </c>
      <c r="E67" s="118">
        <v>94.239092351669839</v>
      </c>
      <c r="F67" s="118">
        <v>77.117366623925918</v>
      </c>
      <c r="G67" s="118">
        <v>103.38420894776991</v>
      </c>
      <c r="H67" s="118">
        <v>78.233713191199556</v>
      </c>
      <c r="I67" s="118">
        <v>117.47159843327751</v>
      </c>
      <c r="J67" s="118">
        <v>108.80648175350051</v>
      </c>
    </row>
    <row r="68" spans="1:10" ht="15" customHeight="1" x14ac:dyDescent="0.2">
      <c r="B68" s="115">
        <v>2002</v>
      </c>
      <c r="C68" s="118">
        <v>94.148465223428033</v>
      </c>
      <c r="D68" s="118">
        <v>93.742907549611814</v>
      </c>
      <c r="E68" s="118">
        <v>89.323225822085377</v>
      </c>
      <c r="F68" s="118">
        <v>74.502071498522909</v>
      </c>
      <c r="G68" s="118">
        <v>106.31905216383559</v>
      </c>
      <c r="H68" s="118">
        <v>79.958677823335094</v>
      </c>
      <c r="I68" s="118">
        <v>113.94339618705111</v>
      </c>
      <c r="J68" s="118">
        <v>107.94837036980979</v>
      </c>
    </row>
    <row r="69" spans="1:10" ht="15" customHeight="1" x14ac:dyDescent="0.2">
      <c r="B69" s="115">
        <v>2003</v>
      </c>
      <c r="C69" s="118">
        <v>95.234844678762116</v>
      </c>
      <c r="D69" s="118">
        <v>94.824534218966534</v>
      </c>
      <c r="E69" s="118">
        <v>95.910017765056665</v>
      </c>
      <c r="F69" s="118">
        <v>79.766627323422412</v>
      </c>
      <c r="G69" s="118">
        <v>108.04806909526491</v>
      </c>
      <c r="H69" s="118">
        <v>79.731988283141007</v>
      </c>
      <c r="I69" s="118">
        <v>111.4599892656064</v>
      </c>
      <c r="J69" s="118">
        <v>108.15227274358671</v>
      </c>
    </row>
    <row r="70" spans="1:10" ht="15" customHeight="1" x14ac:dyDescent="0.2">
      <c r="B70" s="115">
        <v>2004</v>
      </c>
      <c r="C70" s="118">
        <v>96.601547720351732</v>
      </c>
      <c r="D70" s="118">
        <v>96.569875486488542</v>
      </c>
      <c r="E70" s="118">
        <v>108.7036025778017</v>
      </c>
      <c r="F70" s="118">
        <v>84.250886877210675</v>
      </c>
      <c r="G70" s="118">
        <v>105.46696663650729</v>
      </c>
      <c r="H70" s="118">
        <v>83.864192738490928</v>
      </c>
      <c r="I70" s="118">
        <v>107.57044960885359</v>
      </c>
      <c r="J70" s="118">
        <v>108.86906023751661</v>
      </c>
    </row>
    <row r="71" spans="1:10" ht="15" customHeight="1" x14ac:dyDescent="0.2">
      <c r="B71" s="115"/>
      <c r="C71" s="118"/>
      <c r="D71" s="118"/>
      <c r="E71" s="118"/>
      <c r="F71" s="118"/>
      <c r="G71" s="118"/>
      <c r="H71" s="118"/>
      <c r="I71" s="118"/>
      <c r="J71" s="118"/>
    </row>
    <row r="72" spans="1:10" ht="15" customHeight="1" x14ac:dyDescent="0.2">
      <c r="A72" s="20"/>
      <c r="B72" s="115">
        <v>2005</v>
      </c>
      <c r="C72" s="118">
        <v>97.186278926671633</v>
      </c>
      <c r="D72" s="118">
        <v>97.149014603895864</v>
      </c>
      <c r="E72" s="118">
        <v>75.614642826121425</v>
      </c>
      <c r="F72" s="118">
        <v>86.128761831635217</v>
      </c>
      <c r="G72" s="118">
        <v>110.354907550221</v>
      </c>
      <c r="H72" s="118">
        <v>84.599089700151325</v>
      </c>
      <c r="I72" s="118">
        <v>108.6259241316633</v>
      </c>
      <c r="J72" s="118">
        <v>109.1063620744665</v>
      </c>
    </row>
    <row r="73" spans="1:10" ht="15" customHeight="1" x14ac:dyDescent="0.2">
      <c r="A73" s="20"/>
      <c r="B73" s="115">
        <v>2006</v>
      </c>
      <c r="C73" s="118">
        <v>98.961441787867287</v>
      </c>
      <c r="D73" s="118">
        <v>99.008894006206404</v>
      </c>
      <c r="E73" s="118">
        <v>83.765137471308876</v>
      </c>
      <c r="F73" s="118">
        <v>92.330449224351597</v>
      </c>
      <c r="G73" s="118">
        <v>113.8215720796416</v>
      </c>
      <c r="H73" s="118">
        <v>88.567735405113353</v>
      </c>
      <c r="I73" s="118">
        <v>105.6872431390901</v>
      </c>
      <c r="J73" s="118">
        <v>107.8961876581951</v>
      </c>
    </row>
    <row r="74" spans="1:10" ht="15" customHeight="1" x14ac:dyDescent="0.2">
      <c r="A74" s="20"/>
      <c r="B74" s="115">
        <v>2007</v>
      </c>
      <c r="C74" s="118">
        <v>98.272307289886868</v>
      </c>
      <c r="D74" s="118">
        <v>98.759056601288904</v>
      </c>
      <c r="E74" s="118">
        <v>77.231646190036571</v>
      </c>
      <c r="F74" s="118">
        <v>90.36438523659605</v>
      </c>
      <c r="G74" s="118">
        <v>104.14256554882181</v>
      </c>
      <c r="H74" s="118">
        <v>91.151968596003869</v>
      </c>
      <c r="I74" s="118">
        <v>104.3398639694415</v>
      </c>
      <c r="J74" s="118">
        <v>108.1790627462413</v>
      </c>
    </row>
    <row r="75" spans="1:10" ht="15" customHeight="1" x14ac:dyDescent="0.2">
      <c r="A75" s="20"/>
      <c r="B75" s="115">
        <v>2008</v>
      </c>
      <c r="C75" s="118">
        <v>99.231202266722974</v>
      </c>
      <c r="D75" s="118">
        <v>99.791685529387053</v>
      </c>
      <c r="E75" s="118">
        <v>95.899656751427258</v>
      </c>
      <c r="F75" s="118">
        <v>88.642885767590471</v>
      </c>
      <c r="G75" s="118">
        <v>103.10127843344721</v>
      </c>
      <c r="H75" s="118">
        <v>96.630359906984538</v>
      </c>
      <c r="I75" s="118">
        <v>100.71584179096359</v>
      </c>
      <c r="J75" s="118">
        <v>108.99954658106979</v>
      </c>
    </row>
    <row r="76" spans="1:10" ht="15" customHeight="1" x14ac:dyDescent="0.2">
      <c r="A76" s="20"/>
      <c r="B76" s="115">
        <v>2009</v>
      </c>
      <c r="C76" s="118">
        <v>95.414754019851657</v>
      </c>
      <c r="D76" s="118">
        <v>95.269740711835723</v>
      </c>
      <c r="E76" s="118">
        <v>86.361633513901566</v>
      </c>
      <c r="F76" s="118">
        <v>75.929400938551581</v>
      </c>
      <c r="G76" s="118">
        <v>101.6865537730913</v>
      </c>
      <c r="H76" s="118">
        <v>95.007123743380276</v>
      </c>
      <c r="I76" s="118">
        <v>96.642806491082681</v>
      </c>
      <c r="J76" s="118">
        <v>108.575291408616</v>
      </c>
    </row>
    <row r="77" spans="1:10" ht="15" customHeight="1" x14ac:dyDescent="0.2">
      <c r="A77" s="20"/>
      <c r="B77" s="115"/>
      <c r="C77" s="118"/>
      <c r="D77" s="118"/>
      <c r="E77" s="118"/>
      <c r="F77" s="118"/>
      <c r="G77" s="118"/>
      <c r="H77" s="118"/>
      <c r="I77" s="118"/>
      <c r="J77" s="118"/>
    </row>
    <row r="78" spans="1:10" ht="15" customHeight="1" x14ac:dyDescent="0.2">
      <c r="A78" s="20"/>
      <c r="B78" s="115">
        <v>2010</v>
      </c>
      <c r="C78" s="118">
        <v>95.933889916479714</v>
      </c>
      <c r="D78" s="118">
        <v>96.207636301882545</v>
      </c>
      <c r="E78" s="118">
        <v>79.427273326888113</v>
      </c>
      <c r="F78" s="118">
        <v>83.032167385447877</v>
      </c>
      <c r="G78" s="118">
        <v>104.6795039209955</v>
      </c>
      <c r="H78" s="118">
        <v>90.422305304595767</v>
      </c>
      <c r="I78" s="118">
        <v>99.202746691196836</v>
      </c>
      <c r="J78" s="118">
        <v>108.0656268681998</v>
      </c>
    </row>
    <row r="79" spans="1:10" ht="15" customHeight="1" x14ac:dyDescent="0.2">
      <c r="A79" s="20"/>
      <c r="B79" s="115">
        <v>2011</v>
      </c>
      <c r="C79" s="118">
        <v>97.619101654884403</v>
      </c>
      <c r="D79" s="118">
        <v>97.89057439408495</v>
      </c>
      <c r="E79" s="118">
        <v>75.94629247003877</v>
      </c>
      <c r="F79" s="118">
        <v>86.825816527358</v>
      </c>
      <c r="G79" s="118">
        <v>101.8668939700725</v>
      </c>
      <c r="H79" s="118">
        <v>94.815090421882346</v>
      </c>
      <c r="I79" s="118">
        <v>97.215428708207796</v>
      </c>
      <c r="J79" s="118">
        <v>110.3242697334346</v>
      </c>
    </row>
    <row r="80" spans="1:10" ht="15" customHeight="1" x14ac:dyDescent="0.2">
      <c r="A80" s="20"/>
      <c r="B80" s="115">
        <v>2012</v>
      </c>
      <c r="C80" s="118">
        <v>99.296565918630407</v>
      </c>
      <c r="D80" s="118">
        <v>99.608599413114774</v>
      </c>
      <c r="E80" s="118">
        <v>74.346372403927944</v>
      </c>
      <c r="F80" s="118">
        <v>90.110568087390845</v>
      </c>
      <c r="G80" s="118">
        <v>102.5798411833041</v>
      </c>
      <c r="H80" s="118">
        <v>99.312418602635006</v>
      </c>
      <c r="I80" s="118">
        <v>98.654966674908096</v>
      </c>
      <c r="J80" s="118">
        <v>108.9233680738013</v>
      </c>
    </row>
    <row r="81" spans="1:10" ht="15" customHeight="1" x14ac:dyDescent="0.2">
      <c r="A81" s="20"/>
      <c r="B81" s="115">
        <v>2013</v>
      </c>
      <c r="C81" s="118">
        <v>97.855108711563247</v>
      </c>
      <c r="D81" s="118">
        <v>98.232874925839397</v>
      </c>
      <c r="E81" s="118">
        <v>73.543468086142767</v>
      </c>
      <c r="F81" s="118">
        <v>88.630349732352187</v>
      </c>
      <c r="G81" s="118">
        <v>102.4524674529011</v>
      </c>
      <c r="H81" s="118">
        <v>95.815041848844828</v>
      </c>
      <c r="I81" s="118">
        <v>101.5089803197649</v>
      </c>
      <c r="J81" s="118">
        <v>105.32894120993051</v>
      </c>
    </row>
    <row r="82" spans="1:10" ht="15" customHeight="1" x14ac:dyDescent="0.2">
      <c r="A82" s="20"/>
      <c r="B82" s="115">
        <v>2014</v>
      </c>
      <c r="C82" s="118">
        <v>98.659526080746119</v>
      </c>
      <c r="D82" s="118">
        <v>99.103025350274109</v>
      </c>
      <c r="E82" s="118">
        <v>89.622609834531517</v>
      </c>
      <c r="F82" s="118">
        <v>92.116724868316766</v>
      </c>
      <c r="G82" s="118">
        <v>101.79512104995931</v>
      </c>
      <c r="H82" s="118">
        <v>95.448463117515956</v>
      </c>
      <c r="I82" s="118">
        <v>102.4776860487393</v>
      </c>
      <c r="J82" s="118">
        <v>104.6169252445417</v>
      </c>
    </row>
    <row r="83" spans="1:10" ht="15" customHeight="1" x14ac:dyDescent="0.2">
      <c r="A83" s="20"/>
      <c r="B83" s="115"/>
      <c r="C83" s="118"/>
      <c r="D83" s="118"/>
      <c r="E83" s="118"/>
      <c r="F83" s="118"/>
      <c r="G83" s="118"/>
      <c r="H83" s="118"/>
      <c r="I83" s="118"/>
      <c r="J83" s="118"/>
    </row>
    <row r="84" spans="1:10" ht="15" customHeight="1" x14ac:dyDescent="0.2">
      <c r="A84" s="20"/>
      <c r="B84" s="115">
        <v>2015</v>
      </c>
      <c r="C84" s="118">
        <v>98.723325816132103</v>
      </c>
      <c r="D84" s="118">
        <v>98.949091218742481</v>
      </c>
      <c r="E84" s="118">
        <v>69.011719248865376</v>
      </c>
      <c r="F84" s="118">
        <v>90.237003288699341</v>
      </c>
      <c r="G84" s="118">
        <v>98.616982166297873</v>
      </c>
      <c r="H84" s="118">
        <v>96.859176245782535</v>
      </c>
      <c r="I84" s="118">
        <v>103.31733823387189</v>
      </c>
      <c r="J84" s="118">
        <v>105.04303498120881</v>
      </c>
    </row>
    <row r="85" spans="1:10" ht="15" customHeight="1" x14ac:dyDescent="0.2">
      <c r="A85" s="20"/>
      <c r="B85" s="115">
        <v>2016</v>
      </c>
      <c r="C85" s="118">
        <v>99.529876970038885</v>
      </c>
      <c r="D85" s="118">
        <v>99.847787578136476</v>
      </c>
      <c r="E85" s="118">
        <v>65.804371268427815</v>
      </c>
      <c r="F85" s="118">
        <v>95.356821868597677</v>
      </c>
      <c r="G85" s="118">
        <v>97.398825507944224</v>
      </c>
      <c r="H85" s="118">
        <v>98.700028948512838</v>
      </c>
      <c r="I85" s="118">
        <v>101.2529625477236</v>
      </c>
      <c r="J85" s="118">
        <v>105.0367990558117</v>
      </c>
    </row>
    <row r="86" spans="1:10" ht="15" customHeight="1" x14ac:dyDescent="0.2">
      <c r="A86" s="20"/>
      <c r="B86" s="115">
        <v>2017</v>
      </c>
      <c r="C86" s="118">
        <v>101.2924012632825</v>
      </c>
      <c r="D86" s="118">
        <v>101.70358102176471</v>
      </c>
      <c r="E86" s="118">
        <v>86.795664870782375</v>
      </c>
      <c r="F86" s="118">
        <v>100.26127748128491</v>
      </c>
      <c r="G86" s="118">
        <v>98.812844692336625</v>
      </c>
      <c r="H86" s="118">
        <v>101.81584805191321</v>
      </c>
      <c r="I86" s="118">
        <v>100.0306113633533</v>
      </c>
      <c r="J86" s="118">
        <v>105.0647112456693</v>
      </c>
    </row>
    <row r="87" spans="1:10" ht="15" customHeight="1" x14ac:dyDescent="0.2">
      <c r="A87" s="20"/>
      <c r="B87" s="115">
        <v>2018</v>
      </c>
      <c r="C87" s="118">
        <v>100.7068074130226</v>
      </c>
      <c r="D87" s="118">
        <v>101.1958148626305</v>
      </c>
      <c r="E87" s="118">
        <v>66.943115520838987</v>
      </c>
      <c r="F87" s="118">
        <v>97.964798765908455</v>
      </c>
      <c r="G87" s="118">
        <v>103.0787658239334</v>
      </c>
      <c r="H87" s="118">
        <v>103.252153146331</v>
      </c>
      <c r="I87" s="118">
        <v>99.521526400103056</v>
      </c>
      <c r="J87" s="118">
        <v>104.1598925752795</v>
      </c>
    </row>
    <row r="88" spans="1:10" ht="15" customHeight="1" x14ac:dyDescent="0.2">
      <c r="A88" s="20"/>
      <c r="B88" s="115">
        <v>2019</v>
      </c>
      <c r="C88" s="118">
        <v>101.9460170997361</v>
      </c>
      <c r="D88" s="118">
        <v>102.1472420118121</v>
      </c>
      <c r="E88" s="118">
        <v>87.283516250203533</v>
      </c>
      <c r="F88" s="118">
        <v>98.639090956597585</v>
      </c>
      <c r="G88" s="118">
        <v>99.265932905919414</v>
      </c>
      <c r="H88" s="118">
        <v>106.0154239154807</v>
      </c>
      <c r="I88" s="118">
        <v>99.853251502832677</v>
      </c>
      <c r="J88" s="118">
        <v>104.4554415354301</v>
      </c>
    </row>
    <row r="89" spans="1:10" ht="15" customHeight="1" x14ac:dyDescent="0.2">
      <c r="A89" s="20"/>
      <c r="B89" s="115"/>
      <c r="C89" s="118"/>
      <c r="D89" s="118"/>
      <c r="E89" s="118"/>
      <c r="F89" s="118"/>
      <c r="G89" s="118"/>
      <c r="H89" s="118"/>
      <c r="I89" s="118"/>
      <c r="J89" s="118"/>
    </row>
    <row r="90" spans="1:10" ht="15" customHeight="1" x14ac:dyDescent="0.2">
      <c r="A90" s="20"/>
      <c r="B90" s="115">
        <v>2020</v>
      </c>
      <c r="C90" s="118">
        <v>100</v>
      </c>
      <c r="D90" s="118">
        <v>100</v>
      </c>
      <c r="E90" s="118">
        <v>100</v>
      </c>
      <c r="F90" s="118">
        <v>100</v>
      </c>
      <c r="G90" s="118">
        <v>100</v>
      </c>
      <c r="H90" s="118">
        <v>100</v>
      </c>
      <c r="I90" s="118">
        <v>100</v>
      </c>
      <c r="J90" s="118">
        <v>100</v>
      </c>
    </row>
    <row r="91" spans="1:10" ht="15" customHeight="1" x14ac:dyDescent="0.2">
      <c r="A91" s="20"/>
      <c r="B91" s="115">
        <v>2021</v>
      </c>
      <c r="C91" s="118">
        <v>99.136712983834514</v>
      </c>
      <c r="D91" s="118">
        <v>99.262027292249584</v>
      </c>
      <c r="E91" s="118">
        <v>101.9203466051288</v>
      </c>
      <c r="F91" s="118">
        <v>95.981436760511386</v>
      </c>
      <c r="G91" s="118">
        <v>93.800744281847656</v>
      </c>
      <c r="H91" s="118">
        <v>98.308878357268597</v>
      </c>
      <c r="I91" s="118">
        <v>102.82318185668809</v>
      </c>
      <c r="J91" s="118">
        <v>100.4035825743248</v>
      </c>
    </row>
    <row r="92" spans="1:10" ht="15" customHeight="1" x14ac:dyDescent="0.2">
      <c r="A92" s="20"/>
      <c r="B92" s="115">
        <v>2022</v>
      </c>
      <c r="C92" s="118">
        <v>99.130908733051996</v>
      </c>
      <c r="D92" s="118">
        <v>99.613469755507595</v>
      </c>
      <c r="E92" s="118">
        <v>112.4097340989869</v>
      </c>
      <c r="F92" s="118">
        <v>87.267222695373874</v>
      </c>
      <c r="G92" s="118">
        <v>85.961012342310099</v>
      </c>
      <c r="H92" s="118">
        <v>98.515377588197268</v>
      </c>
      <c r="I92" s="118">
        <v>105.93778231911161</v>
      </c>
      <c r="J92" s="118">
        <v>106.35957445573889</v>
      </c>
    </row>
    <row r="93" spans="1:10" ht="15" customHeight="1" x14ac:dyDescent="0.2">
      <c r="A93" s="20"/>
      <c r="B93" s="115">
        <v>2023</v>
      </c>
      <c r="C93" s="118">
        <v>97.614018820726884</v>
      </c>
      <c r="D93" s="118">
        <v>98.569382843691997</v>
      </c>
      <c r="E93" s="118">
        <v>92.550407919619744</v>
      </c>
      <c r="F93" s="118">
        <v>88.355417923372556</v>
      </c>
      <c r="G93" s="118">
        <v>84.40136141653781</v>
      </c>
      <c r="H93" s="118">
        <v>96.317995233788963</v>
      </c>
      <c r="I93" s="118">
        <v>104.7865472693051</v>
      </c>
      <c r="J93" s="118">
        <v>106.41823662039801</v>
      </c>
    </row>
    <row r="94" spans="1:10" ht="15" customHeight="1" x14ac:dyDescent="0.2">
      <c r="A94" s="20"/>
      <c r="B94" s="115">
        <v>2024</v>
      </c>
      <c r="C94" s="118">
        <v>98.28289249163484</v>
      </c>
      <c r="D94" s="118">
        <v>99.203073605413735</v>
      </c>
      <c r="E94" s="118">
        <v>93.686993749562092</v>
      </c>
      <c r="F94" s="118">
        <v>90.588225532480692</v>
      </c>
      <c r="G94" s="118">
        <v>80.511317901912307</v>
      </c>
      <c r="H94" s="118">
        <v>96.397270437424183</v>
      </c>
      <c r="I94" s="118">
        <v>105.5494902701834</v>
      </c>
      <c r="J94" s="118">
        <v>107.93376403654921</v>
      </c>
    </row>
    <row r="95" spans="1:10" s="101" customFormat="1" ht="15" customHeight="1" x14ac:dyDescent="0.2">
      <c r="A95" s="20"/>
      <c r="B95" s="115"/>
      <c r="C95" s="389" t="s">
        <v>12</v>
      </c>
      <c r="D95" s="389"/>
      <c r="E95" s="389"/>
      <c r="F95" s="389"/>
      <c r="G95" s="389"/>
      <c r="H95" s="389"/>
      <c r="I95" s="389"/>
      <c r="J95" s="389"/>
    </row>
    <row r="96" spans="1:10" ht="15" customHeight="1" x14ac:dyDescent="0.2">
      <c r="A96" s="20"/>
      <c r="B96" s="115">
        <v>2001</v>
      </c>
      <c r="C96" s="357">
        <v>1.0324235720323856</v>
      </c>
      <c r="D96" s="357">
        <v>1.3555628756788138</v>
      </c>
      <c r="E96" s="357">
        <v>-7.4068744398896769</v>
      </c>
      <c r="F96" s="357">
        <v>7.605627423819783E-2</v>
      </c>
      <c r="G96" s="357">
        <v>-3.0344695935889376</v>
      </c>
      <c r="H96" s="357">
        <v>7.4506242580024775</v>
      </c>
      <c r="I96" s="357">
        <v>-1.754625702455229</v>
      </c>
      <c r="J96" s="357">
        <v>0.40254825164902286</v>
      </c>
    </row>
    <row r="97" spans="1:10" ht="15" customHeight="1" x14ac:dyDescent="0.2">
      <c r="A97" s="20"/>
      <c r="B97" s="115">
        <v>2002</v>
      </c>
      <c r="C97" s="357">
        <v>-1.2653698445952415</v>
      </c>
      <c r="D97" s="357">
        <v>-0.98508150298432895</v>
      </c>
      <c r="E97" s="357">
        <v>-5.2163772028279425</v>
      </c>
      <c r="F97" s="357">
        <v>-3.3913179869806385</v>
      </c>
      <c r="G97" s="357">
        <v>2.8387731994432244</v>
      </c>
      <c r="H97" s="357">
        <v>2.2048865658719308</v>
      </c>
      <c r="I97" s="357">
        <v>-3.0034512965535072</v>
      </c>
      <c r="J97" s="357">
        <v>-0.78865833161920307</v>
      </c>
    </row>
    <row r="98" spans="1:10" ht="15" customHeight="1" x14ac:dyDescent="0.2">
      <c r="A98" s="20"/>
      <c r="B98" s="115">
        <v>2003</v>
      </c>
      <c r="C98" s="357">
        <v>1.1539003347064067</v>
      </c>
      <c r="D98" s="357">
        <v>1.1538224038786922</v>
      </c>
      <c r="E98" s="357">
        <v>7.3741088976017437</v>
      </c>
      <c r="F98" s="357">
        <v>7.0663214042362199</v>
      </c>
      <c r="G98" s="357">
        <v>1.626253146768974</v>
      </c>
      <c r="H98" s="357">
        <v>-0.28350836502693255</v>
      </c>
      <c r="I98" s="357">
        <v>-2.1795093042232168</v>
      </c>
      <c r="J98" s="357">
        <v>0.18888879292794059</v>
      </c>
    </row>
    <row r="99" spans="1:10" ht="15" customHeight="1" x14ac:dyDescent="0.2">
      <c r="A99" s="20"/>
      <c r="B99" s="115">
        <v>2004</v>
      </c>
      <c r="C99" s="357">
        <v>1.4350871744471903</v>
      </c>
      <c r="D99" s="357">
        <v>1.8406009393009128</v>
      </c>
      <c r="E99" s="357">
        <v>13.339153834883533</v>
      </c>
      <c r="F99" s="357">
        <v>5.6217239016591947</v>
      </c>
      <c r="G99" s="357">
        <v>-2.3888464461885803</v>
      </c>
      <c r="H99" s="357">
        <v>5.1826180988686872</v>
      </c>
      <c r="I99" s="357">
        <v>-3.4896285944224559</v>
      </c>
      <c r="J99" s="357">
        <v>0.66275768021010606</v>
      </c>
    </row>
    <row r="100" spans="1:10" ht="15" customHeight="1" x14ac:dyDescent="0.2">
      <c r="B100" s="115">
        <v>2005</v>
      </c>
      <c r="C100" s="357">
        <v>0.60530210966456366</v>
      </c>
      <c r="D100" s="357">
        <v>0.59970991418370545</v>
      </c>
      <c r="E100" s="357">
        <v>-30.439616504887908</v>
      </c>
      <c r="F100" s="357">
        <v>2.2289082335256722</v>
      </c>
      <c r="G100" s="357">
        <v>4.634570491213637</v>
      </c>
      <c r="H100" s="357">
        <v>0.87629408650242624</v>
      </c>
      <c r="I100" s="357">
        <v>0.98119374479479404</v>
      </c>
      <c r="J100" s="357">
        <v>0.21796995072078573</v>
      </c>
    </row>
    <row r="101" spans="1:10" ht="15" customHeight="1" x14ac:dyDescent="0.2">
      <c r="B101" s="115"/>
      <c r="C101" s="357"/>
      <c r="D101" s="357"/>
      <c r="E101" s="357"/>
      <c r="F101" s="357"/>
      <c r="G101" s="357"/>
      <c r="H101" s="357"/>
      <c r="I101" s="357"/>
      <c r="J101" s="357"/>
    </row>
    <row r="102" spans="1:10" ht="15" customHeight="1" x14ac:dyDescent="0.2">
      <c r="B102" s="115">
        <v>2006</v>
      </c>
      <c r="C102" s="357">
        <v>1.826557082749332</v>
      </c>
      <c r="D102" s="357">
        <v>1.9144603883979698</v>
      </c>
      <c r="E102" s="357">
        <v>10.778989810121573</v>
      </c>
      <c r="F102" s="357">
        <v>7.2004836257131615</v>
      </c>
      <c r="G102" s="357">
        <v>3.1413777659529671</v>
      </c>
      <c r="H102" s="357">
        <v>4.6911210499170721</v>
      </c>
      <c r="I102" s="357">
        <v>-2.7053219717710135</v>
      </c>
      <c r="J102" s="357">
        <v>-1.1091694317930205</v>
      </c>
    </row>
    <row r="103" spans="1:10" ht="15" customHeight="1" x14ac:dyDescent="0.2">
      <c r="B103" s="115">
        <v>2007</v>
      </c>
      <c r="C103" s="357">
        <v>-0.69636667123104701</v>
      </c>
      <c r="D103" s="357">
        <v>-0.25233834538323663</v>
      </c>
      <c r="E103" s="357">
        <v>-7.79977384208334</v>
      </c>
      <c r="F103" s="357">
        <v>-2.1293776909698181</v>
      </c>
      <c r="G103" s="357">
        <v>-8.5036661802978273</v>
      </c>
      <c r="H103" s="357">
        <v>2.9178042986761454</v>
      </c>
      <c r="I103" s="357">
        <v>-1.2748739863290552</v>
      </c>
      <c r="J103" s="357">
        <v>0.26217338553455249</v>
      </c>
    </row>
    <row r="104" spans="1:10" ht="15" customHeight="1" x14ac:dyDescent="0.2">
      <c r="B104" s="115">
        <v>2008</v>
      </c>
      <c r="C104" s="357">
        <v>0.97575299011504057</v>
      </c>
      <c r="D104" s="357">
        <v>1.0456042854551413</v>
      </c>
      <c r="E104" s="357">
        <v>24.171452354461138</v>
      </c>
      <c r="F104" s="357">
        <v>-1.9050641073895207</v>
      </c>
      <c r="G104" s="357">
        <v>-0.99986697071184949</v>
      </c>
      <c r="H104" s="357">
        <v>6.0101733351053923</v>
      </c>
      <c r="I104" s="357">
        <v>-3.4732862787125072</v>
      </c>
      <c r="J104" s="357">
        <v>0.7584497535841308</v>
      </c>
    </row>
    <row r="105" spans="1:10" ht="15" customHeight="1" x14ac:dyDescent="0.2">
      <c r="B105" s="115">
        <v>2009</v>
      </c>
      <c r="C105" s="357">
        <v>-3.8460163332628952</v>
      </c>
      <c r="D105" s="357">
        <v>-4.5313843468649395</v>
      </c>
      <c r="E105" s="357">
        <v>-9.9458366803630298</v>
      </c>
      <c r="F105" s="357">
        <v>-14.342363427079647</v>
      </c>
      <c r="G105" s="357">
        <v>-1.3721698526455413</v>
      </c>
      <c r="H105" s="357">
        <v>-1.6798407510504774</v>
      </c>
      <c r="I105" s="357">
        <v>-4.0440860419302425</v>
      </c>
      <c r="J105" s="357">
        <v>-0.38922654796390077</v>
      </c>
    </row>
    <row r="106" spans="1:10" ht="15" customHeight="1" x14ac:dyDescent="0.2">
      <c r="B106" s="115">
        <v>2010</v>
      </c>
      <c r="C106" s="357">
        <v>0.54408346168355592</v>
      </c>
      <c r="D106" s="357">
        <v>0.98446325458540684</v>
      </c>
      <c r="E106" s="357">
        <v>-8.0294453739081177</v>
      </c>
      <c r="F106" s="357">
        <v>9.3544349871065862</v>
      </c>
      <c r="G106" s="357">
        <v>2.9433096479823888</v>
      </c>
      <c r="H106" s="357">
        <v>-4.8257628040275762</v>
      </c>
      <c r="I106" s="357">
        <v>2.6488678185793049</v>
      </c>
      <c r="J106" s="357">
        <v>-0.4694111651039492</v>
      </c>
    </row>
    <row r="107" spans="1:10" ht="15" customHeight="1" x14ac:dyDescent="0.2">
      <c r="B107" s="115"/>
      <c r="C107" s="357"/>
      <c r="D107" s="357"/>
      <c r="E107" s="357"/>
      <c r="F107" s="357"/>
      <c r="G107" s="357"/>
      <c r="H107" s="357"/>
      <c r="I107" s="357"/>
      <c r="J107" s="357"/>
    </row>
    <row r="108" spans="1:10" ht="15" customHeight="1" x14ac:dyDescent="0.2">
      <c r="B108" s="115">
        <v>2011</v>
      </c>
      <c r="C108" s="357">
        <v>1.7566385975507046</v>
      </c>
      <c r="D108" s="357">
        <v>1.7492770396329433</v>
      </c>
      <c r="E108" s="357">
        <v>-4.3826014806313935</v>
      </c>
      <c r="F108" s="357">
        <v>4.5688909026057729</v>
      </c>
      <c r="G108" s="357">
        <v>-2.6868774168492138</v>
      </c>
      <c r="H108" s="357">
        <v>4.8580768898659272</v>
      </c>
      <c r="I108" s="357">
        <v>-2.0032892730029488</v>
      </c>
      <c r="J108" s="357">
        <v>2.0900659448258381</v>
      </c>
    </row>
    <row r="109" spans="1:10" ht="15" customHeight="1" x14ac:dyDescent="0.2">
      <c r="B109" s="115">
        <v>2012</v>
      </c>
      <c r="C109" s="357">
        <v>1.7183770750896628</v>
      </c>
      <c r="D109" s="357">
        <v>1.755046417557466</v>
      </c>
      <c r="E109" s="357">
        <v>-2.1066467026576703</v>
      </c>
      <c r="F109" s="357">
        <v>3.7831507855706121</v>
      </c>
      <c r="G109" s="357">
        <v>0.69988117380023596</v>
      </c>
      <c r="H109" s="357">
        <v>4.743262027955339</v>
      </c>
      <c r="I109" s="357">
        <v>1.4807710934661173</v>
      </c>
      <c r="J109" s="357">
        <v>-1.2698037005077509</v>
      </c>
    </row>
    <row r="110" spans="1:10" ht="15" customHeight="1" x14ac:dyDescent="0.2">
      <c r="B110" s="115">
        <v>2013</v>
      </c>
      <c r="C110" s="357">
        <v>-1.4516687397310193</v>
      </c>
      <c r="D110" s="357">
        <v>-1.3811302391369935</v>
      </c>
      <c r="E110" s="357">
        <v>-1.0799508998542109</v>
      </c>
      <c r="F110" s="357">
        <v>-1.6426689859541455</v>
      </c>
      <c r="G110" s="357">
        <v>-0.12417033301443325</v>
      </c>
      <c r="H110" s="357">
        <v>-3.5215905553400546</v>
      </c>
      <c r="I110" s="357">
        <v>2.8929244426805951</v>
      </c>
      <c r="J110" s="357">
        <v>-3.2999593452117466</v>
      </c>
    </row>
    <row r="111" spans="1:10" ht="15" customHeight="1" x14ac:dyDescent="0.2">
      <c r="B111" s="115">
        <v>2014</v>
      </c>
      <c r="C111" s="357">
        <v>0.8220494359205901</v>
      </c>
      <c r="D111" s="357">
        <v>0.88580368343248495</v>
      </c>
      <c r="E111" s="357">
        <v>21.863453229530833</v>
      </c>
      <c r="F111" s="357">
        <v>3.9336131996464019</v>
      </c>
      <c r="G111" s="357">
        <v>-0.64161109955109907</v>
      </c>
      <c r="H111" s="357">
        <v>-0.38258996109105681</v>
      </c>
      <c r="I111" s="357">
        <v>0.95430544757998348</v>
      </c>
      <c r="J111" s="357">
        <v>-0.67599271122423943</v>
      </c>
    </row>
    <row r="112" spans="1:10" ht="15" customHeight="1" x14ac:dyDescent="0.2">
      <c r="B112" s="115">
        <v>2015</v>
      </c>
      <c r="C112" s="357">
        <v>6.4666573944194283E-2</v>
      </c>
      <c r="D112" s="357">
        <v>-0.15532737874302427</v>
      </c>
      <c r="E112" s="357">
        <v>-22.997422886612682</v>
      </c>
      <c r="F112" s="357">
        <v>-2.0405866386419262</v>
      </c>
      <c r="G112" s="357">
        <v>-3.1220935255842477</v>
      </c>
      <c r="H112" s="357">
        <v>1.4779841206345026</v>
      </c>
      <c r="I112" s="357">
        <v>0.81935123391959053</v>
      </c>
      <c r="J112" s="357">
        <v>0.4073047794810094</v>
      </c>
    </row>
    <row r="113" spans="1:10" ht="15" customHeight="1" x14ac:dyDescent="0.2">
      <c r="B113" s="115"/>
      <c r="C113" s="357"/>
      <c r="D113" s="357"/>
      <c r="E113" s="357"/>
      <c r="F113" s="357"/>
      <c r="G113" s="357"/>
      <c r="H113" s="357"/>
      <c r="I113" s="357"/>
      <c r="J113" s="357"/>
    </row>
    <row r="114" spans="1:10" ht="15" customHeight="1" x14ac:dyDescent="0.2">
      <c r="B114" s="115">
        <v>2016</v>
      </c>
      <c r="C114" s="357">
        <v>0.81698134381021248</v>
      </c>
      <c r="D114" s="357">
        <v>0.90824114534541422</v>
      </c>
      <c r="E114" s="357">
        <v>-4.6475410486028323</v>
      </c>
      <c r="F114" s="357">
        <v>5.6737462385782749</v>
      </c>
      <c r="G114" s="357">
        <v>-1.2352402513184586</v>
      </c>
      <c r="H114" s="357">
        <v>1.9005454868407128</v>
      </c>
      <c r="I114" s="357">
        <v>-1.9980922093398448</v>
      </c>
      <c r="J114" s="357">
        <v>-5.936543434998498E-3</v>
      </c>
    </row>
    <row r="115" spans="1:10" ht="15" customHeight="1" x14ac:dyDescent="0.2">
      <c r="B115" s="115">
        <v>2017</v>
      </c>
      <c r="C115" s="357">
        <v>1.7708494644017065</v>
      </c>
      <c r="D115" s="357">
        <v>1.8586224979456603</v>
      </c>
      <c r="E115" s="357">
        <v>31.899542838464811</v>
      </c>
      <c r="F115" s="357">
        <v>5.1432666447772277</v>
      </c>
      <c r="G115" s="357">
        <v>1.4517825826113864</v>
      </c>
      <c r="H115" s="357">
        <v>3.1568573348906881</v>
      </c>
      <c r="I115" s="357">
        <v>-1.2072251059263124</v>
      </c>
      <c r="J115" s="357">
        <v>2.6573724740757143E-2</v>
      </c>
    </row>
    <row r="116" spans="1:10" ht="15" customHeight="1" x14ac:dyDescent="0.2">
      <c r="B116" s="115">
        <v>2018</v>
      </c>
      <c r="C116" s="357">
        <v>-0.5781221917504098</v>
      </c>
      <c r="D116" s="357">
        <v>-0.49926084611075794</v>
      </c>
      <c r="E116" s="357">
        <v>-22.872742987220619</v>
      </c>
      <c r="F116" s="357">
        <v>-2.2904941699003558</v>
      </c>
      <c r="G116" s="357">
        <v>4.3171726761628264</v>
      </c>
      <c r="H116" s="357">
        <v>1.4106891234510641</v>
      </c>
      <c r="I116" s="357">
        <v>-0.50892917309187169</v>
      </c>
      <c r="J116" s="357">
        <v>-0.86120131075608697</v>
      </c>
    </row>
    <row r="117" spans="1:10" ht="15" customHeight="1" x14ac:dyDescent="0.2">
      <c r="B117" s="115">
        <v>2019</v>
      </c>
      <c r="C117" s="357">
        <v>1.2305123343163871</v>
      </c>
      <c r="D117" s="357">
        <v>0.94018428575641622</v>
      </c>
      <c r="E117" s="357">
        <v>30.38460425857042</v>
      </c>
      <c r="F117" s="357">
        <v>0.68830049077158151</v>
      </c>
      <c r="G117" s="357">
        <v>-3.6989508824024853</v>
      </c>
      <c r="H117" s="357">
        <v>2.6762354923810108</v>
      </c>
      <c r="I117" s="357">
        <v>0.33331995069690379</v>
      </c>
      <c r="J117" s="357">
        <v>0.28374545407388041</v>
      </c>
    </row>
    <row r="118" spans="1:10" ht="15" customHeight="1" x14ac:dyDescent="0.2">
      <c r="B118" s="115">
        <v>2020</v>
      </c>
      <c r="C118" s="357">
        <v>-1.9088701600105367</v>
      </c>
      <c r="D118" s="357">
        <v>-2.1021047357928637</v>
      </c>
      <c r="E118" s="357">
        <v>14.569169868619738</v>
      </c>
      <c r="F118" s="357">
        <v>1.3796853054953999</v>
      </c>
      <c r="G118" s="357">
        <v>0.73949548711370028</v>
      </c>
      <c r="H118" s="357">
        <v>-5.6741025912195653</v>
      </c>
      <c r="I118" s="357">
        <v>0.14696416487063857</v>
      </c>
      <c r="J118" s="357">
        <v>-4.265399169193941</v>
      </c>
    </row>
    <row r="119" spans="1:10" ht="15" customHeight="1" x14ac:dyDescent="0.2">
      <c r="B119" s="115"/>
      <c r="C119" s="357"/>
      <c r="D119" s="357"/>
      <c r="E119" s="357"/>
      <c r="F119" s="357"/>
      <c r="G119" s="357"/>
      <c r="H119" s="357"/>
      <c r="I119" s="357"/>
      <c r="J119" s="357"/>
    </row>
    <row r="120" spans="1:10" ht="15" customHeight="1" x14ac:dyDescent="0.2">
      <c r="B120" s="115">
        <v>2021</v>
      </c>
      <c r="C120" s="357">
        <v>-0.86328701616548642</v>
      </c>
      <c r="D120" s="357">
        <v>-0.73797270775041568</v>
      </c>
      <c r="E120" s="357">
        <v>1.920346605128799</v>
      </c>
      <c r="F120" s="357">
        <v>-4.0185632394886142</v>
      </c>
      <c r="G120" s="357">
        <v>-6.1992557181523438</v>
      </c>
      <c r="H120" s="357">
        <v>-1.6911216427313889</v>
      </c>
      <c r="I120" s="357">
        <v>2.8231818566880946</v>
      </c>
      <c r="J120" s="357">
        <v>0.40358257432481537</v>
      </c>
    </row>
    <row r="121" spans="1:10" ht="15" customHeight="1" x14ac:dyDescent="0.2">
      <c r="B121" s="115">
        <v>2022</v>
      </c>
      <c r="C121" s="357">
        <v>-5.8547944629339099E-3</v>
      </c>
      <c r="D121" s="357">
        <v>0.35405529470327224</v>
      </c>
      <c r="E121" s="357">
        <v>10.291750217939565</v>
      </c>
      <c r="F121" s="357">
        <v>-9.0790619095240572</v>
      </c>
      <c r="G121" s="357">
        <v>-8.3578568587698356</v>
      </c>
      <c r="H121" s="357">
        <v>0.21005145657161961</v>
      </c>
      <c r="I121" s="357">
        <v>3.0290839149138122</v>
      </c>
      <c r="J121" s="357">
        <v>5.9320511566458407</v>
      </c>
    </row>
    <row r="122" spans="1:10" s="101" customFormat="1" ht="15" customHeight="1" x14ac:dyDescent="0.2">
      <c r="A122" s="20"/>
      <c r="B122" s="115">
        <v>2023</v>
      </c>
      <c r="C122" s="358">
        <v>-1.5301886482347413</v>
      </c>
      <c r="D122" s="359">
        <v>-1.0481382832845867</v>
      </c>
      <c r="E122" s="359">
        <v>-17.666909666274307</v>
      </c>
      <c r="F122" s="359">
        <v>1.2469690158437459</v>
      </c>
      <c r="G122" s="359">
        <v>-1.8143701234712353</v>
      </c>
      <c r="H122" s="359">
        <v>-2.2304968099432614</v>
      </c>
      <c r="I122" s="359">
        <v>-1.0867086554055732</v>
      </c>
      <c r="J122" s="359">
        <v>5.5154568791095926E-2</v>
      </c>
    </row>
    <row r="123" spans="1:10" ht="15" customHeight="1" x14ac:dyDescent="0.2">
      <c r="B123" s="186">
        <v>2024</v>
      </c>
      <c r="C123" s="360">
        <v>0.68522296181288311</v>
      </c>
      <c r="D123" s="361">
        <v>0.64288802814827761</v>
      </c>
      <c r="E123" s="361">
        <v>1.2280721992381558</v>
      </c>
      <c r="F123" s="361">
        <v>2.5270749226092306</v>
      </c>
      <c r="G123" s="361">
        <v>-4.6089819516386115</v>
      </c>
      <c r="H123" s="361">
        <v>8.2305703563278598E-2</v>
      </c>
      <c r="I123" s="361">
        <v>0.72809250878121645</v>
      </c>
      <c r="J123" s="361">
        <v>1.4241237820517512</v>
      </c>
    </row>
    <row r="124" spans="1:10" s="9" customFormat="1" x14ac:dyDescent="0.2">
      <c r="B124" s="102"/>
      <c r="C124" s="109"/>
      <c r="D124" s="109"/>
      <c r="E124" s="109"/>
      <c r="F124" s="109"/>
      <c r="G124" s="109"/>
      <c r="H124" s="109"/>
      <c r="I124" s="109"/>
      <c r="J124" s="109"/>
    </row>
    <row r="125" spans="1:10" x14ac:dyDescent="0.2">
      <c r="B125" s="390" t="s">
        <v>176</v>
      </c>
      <c r="C125" s="390"/>
      <c r="D125" s="390"/>
      <c r="E125" s="390"/>
      <c r="F125" s="390"/>
      <c r="G125" s="390"/>
      <c r="H125" s="390"/>
      <c r="I125" s="390"/>
      <c r="J125" s="390"/>
    </row>
    <row r="127" spans="1:10" x14ac:dyDescent="0.2">
      <c r="B127" s="388" t="s">
        <v>213</v>
      </c>
      <c r="C127" s="388"/>
      <c r="D127" s="388"/>
      <c r="E127" s="388"/>
      <c r="F127" s="388"/>
      <c r="G127" s="388"/>
      <c r="H127" s="388"/>
      <c r="I127" s="388"/>
      <c r="J127" s="388"/>
    </row>
    <row r="128" spans="1:10" x14ac:dyDescent="0.2">
      <c r="J128" s="116" t="s">
        <v>178</v>
      </c>
    </row>
  </sheetData>
  <mergeCells count="11">
    <mergeCell ref="C36:J36"/>
    <mergeCell ref="C65:J65"/>
    <mergeCell ref="C95:J95"/>
    <mergeCell ref="B125:J125"/>
    <mergeCell ref="B127:J127"/>
    <mergeCell ref="C6:J6"/>
    <mergeCell ref="B3:J3"/>
    <mergeCell ref="B4:B5"/>
    <mergeCell ref="C4:C5"/>
    <mergeCell ref="D4:D5"/>
    <mergeCell ref="E4:J4"/>
  </mergeCells>
  <hyperlinks>
    <hyperlink ref="J128" location="Inhaltsverzeichnis!A1" display="› Zurück zum Inhaltsverzeichnis" xr:uid="{48DB4783-8560-44CD-9CEE-C813C9973F76}"/>
  </hyperlink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97F2C-9C7D-4AB3-96C7-D3503FD2F574}">
  <sheetPr codeName="Tabelle9"/>
  <dimension ref="A1:L53"/>
  <sheetViews>
    <sheetView topLeftCell="A29" zoomScaleNormal="100" workbookViewId="0"/>
  </sheetViews>
  <sheetFormatPr baseColWidth="10" defaultColWidth="10.875" defaultRowHeight="11.4" x14ac:dyDescent="0.2"/>
  <cols>
    <col min="1" max="1" width="2.75" style="122" customWidth="1"/>
    <col min="2" max="2" width="18.875" style="124" bestFit="1" customWidth="1"/>
    <col min="3" max="3" width="4" style="122" bestFit="1" customWidth="1"/>
    <col min="4" max="6" width="36" style="122" customWidth="1"/>
    <col min="7" max="10" width="12.75" style="122" customWidth="1"/>
    <col min="11" max="16384" width="10.875" style="122"/>
  </cols>
  <sheetData>
    <row r="1" spans="1:10" s="46" customFormat="1" ht="13.8" x14ac:dyDescent="0.2">
      <c r="B1" s="43"/>
      <c r="D1" s="41"/>
    </row>
    <row r="2" spans="1:10" s="95" customFormat="1" ht="20.100000000000001" customHeight="1" x14ac:dyDescent="0.25">
      <c r="A2" s="93"/>
      <c r="B2" s="94" t="s">
        <v>44</v>
      </c>
      <c r="D2" s="98"/>
    </row>
    <row r="3" spans="1:10" s="80" customFormat="1" ht="50.25" customHeight="1" x14ac:dyDescent="0.2">
      <c r="A3" s="65"/>
      <c r="B3" s="381" t="s">
        <v>207</v>
      </c>
      <c r="C3" s="391"/>
      <c r="D3" s="391"/>
      <c r="E3" s="391"/>
      <c r="F3" s="391"/>
      <c r="G3" s="82"/>
      <c r="H3" s="82"/>
      <c r="I3" s="82"/>
    </row>
    <row r="4" spans="1:10" ht="35.25" customHeight="1" x14ac:dyDescent="0.25">
      <c r="A4" s="119"/>
      <c r="B4" s="120"/>
      <c r="C4" s="119"/>
      <c r="D4" s="119"/>
      <c r="E4" s="119"/>
      <c r="F4" s="121"/>
      <c r="G4" s="121"/>
      <c r="H4" s="121"/>
      <c r="I4" s="121"/>
      <c r="J4" s="121"/>
    </row>
    <row r="5" spans="1:10" ht="28.5" customHeight="1" x14ac:dyDescent="0.2">
      <c r="B5" s="123"/>
      <c r="D5" s="394" t="str">
        <f>B3</f>
        <v>Grafik 1: Anteile der Wirtschaftsbereiche¹ an der Bruttowertschöpfung 
in jeweiligen Preisen in Schleswig-Holstein 2000 und 2024</v>
      </c>
      <c r="E5" s="394"/>
      <c r="F5" s="394"/>
      <c r="G5" s="46"/>
      <c r="H5" s="46"/>
      <c r="I5" s="46"/>
      <c r="J5" s="46"/>
    </row>
    <row r="6" spans="1:10" x14ac:dyDescent="0.2">
      <c r="F6" s="46"/>
      <c r="G6" s="46"/>
      <c r="H6" s="46"/>
      <c r="I6" s="46"/>
      <c r="J6" s="46"/>
    </row>
    <row r="7" spans="1:10" x14ac:dyDescent="0.2">
      <c r="F7" s="46"/>
      <c r="G7" s="46"/>
      <c r="H7" s="46"/>
      <c r="I7" s="46"/>
      <c r="J7" s="46"/>
    </row>
    <row r="8" spans="1:10" x14ac:dyDescent="0.2">
      <c r="F8" s="46"/>
      <c r="G8" s="46"/>
      <c r="H8" s="46"/>
      <c r="I8" s="46"/>
      <c r="J8" s="46"/>
    </row>
    <row r="9" spans="1:10" x14ac:dyDescent="0.2">
      <c r="F9" s="46"/>
      <c r="G9" s="46"/>
      <c r="H9" s="46"/>
      <c r="I9" s="46"/>
      <c r="J9" s="46"/>
    </row>
    <row r="10" spans="1:10" x14ac:dyDescent="0.2">
      <c r="F10" s="125"/>
      <c r="G10" s="46"/>
      <c r="H10" s="46"/>
      <c r="I10" s="46"/>
      <c r="J10" s="126"/>
    </row>
    <row r="11" spans="1:10" x14ac:dyDescent="0.2">
      <c r="F11" s="127"/>
      <c r="G11" s="128"/>
      <c r="H11" s="46"/>
      <c r="I11" s="46"/>
      <c r="J11" s="126"/>
    </row>
    <row r="12" spans="1:10" x14ac:dyDescent="0.2">
      <c r="F12" s="127"/>
      <c r="G12" s="128"/>
      <c r="H12" s="46"/>
      <c r="I12" s="46"/>
      <c r="J12" s="126"/>
    </row>
    <row r="13" spans="1:10" x14ac:dyDescent="0.2">
      <c r="F13" s="127"/>
      <c r="G13" s="128"/>
      <c r="H13" s="46"/>
      <c r="I13" s="46"/>
      <c r="J13" s="126"/>
    </row>
    <row r="14" spans="1:10" x14ac:dyDescent="0.2">
      <c r="F14" s="127"/>
      <c r="G14" s="128"/>
      <c r="H14" s="46"/>
      <c r="I14" s="46"/>
      <c r="J14" s="126"/>
    </row>
    <row r="15" spans="1:10" x14ac:dyDescent="0.2">
      <c r="F15" s="127"/>
      <c r="G15" s="128"/>
      <c r="H15" s="46"/>
      <c r="I15" s="46"/>
      <c r="J15" s="126"/>
    </row>
    <row r="16" spans="1:10" x14ac:dyDescent="0.2">
      <c r="F16" s="127"/>
      <c r="G16" s="128"/>
      <c r="H16" s="46"/>
      <c r="I16" s="46"/>
      <c r="J16" s="126"/>
    </row>
    <row r="17" spans="5:10" x14ac:dyDescent="0.2">
      <c r="F17" s="127"/>
      <c r="G17" s="128"/>
      <c r="H17" s="46"/>
      <c r="I17" s="46"/>
      <c r="J17" s="126"/>
    </row>
    <row r="18" spans="5:10" x14ac:dyDescent="0.2">
      <c r="F18" s="127"/>
      <c r="G18" s="128"/>
      <c r="H18" s="46"/>
      <c r="I18" s="46"/>
      <c r="J18" s="126"/>
    </row>
    <row r="19" spans="5:10" x14ac:dyDescent="0.2">
      <c r="F19" s="127"/>
      <c r="G19" s="128"/>
      <c r="H19" s="46"/>
      <c r="I19" s="46"/>
      <c r="J19" s="126"/>
    </row>
    <row r="20" spans="5:10" x14ac:dyDescent="0.2">
      <c r="F20" s="127"/>
      <c r="G20" s="128"/>
      <c r="H20" s="46"/>
      <c r="I20" s="46"/>
      <c r="J20" s="126"/>
    </row>
    <row r="21" spans="5:10" x14ac:dyDescent="0.2">
      <c r="F21" s="127"/>
      <c r="G21" s="128"/>
      <c r="H21" s="46"/>
      <c r="I21" s="46"/>
      <c r="J21" s="46"/>
    </row>
    <row r="22" spans="5:10" x14ac:dyDescent="0.2">
      <c r="F22" s="127"/>
      <c r="G22" s="128"/>
      <c r="H22" s="46"/>
      <c r="I22" s="46"/>
      <c r="J22" s="46"/>
    </row>
    <row r="23" spans="5:10" x14ac:dyDescent="0.2">
      <c r="F23" s="127"/>
      <c r="G23" s="128"/>
      <c r="H23" s="46"/>
      <c r="I23" s="46"/>
      <c r="J23" s="46"/>
    </row>
    <row r="24" spans="5:10" x14ac:dyDescent="0.2">
      <c r="F24" s="127"/>
      <c r="G24" s="128"/>
      <c r="H24" s="46"/>
      <c r="I24" s="46"/>
      <c r="J24" s="46"/>
    </row>
    <row r="25" spans="5:10" x14ac:dyDescent="0.2">
      <c r="F25" s="127"/>
      <c r="G25" s="128"/>
      <c r="H25" s="46"/>
      <c r="I25" s="46"/>
      <c r="J25" s="46"/>
    </row>
    <row r="26" spans="5:10" x14ac:dyDescent="0.2">
      <c r="E26" s="46"/>
      <c r="F26" s="46"/>
      <c r="G26" s="46"/>
      <c r="H26" s="46"/>
      <c r="I26" s="46"/>
      <c r="J26" s="46"/>
    </row>
    <row r="27" spans="5:10" x14ac:dyDescent="0.2">
      <c r="E27" s="46"/>
      <c r="F27" s="46"/>
      <c r="G27" s="46"/>
      <c r="H27" s="46"/>
      <c r="I27" s="46"/>
      <c r="J27" s="46"/>
    </row>
    <row r="37" spans="2:10" ht="30.75" customHeight="1" x14ac:dyDescent="0.2">
      <c r="B37" s="123"/>
      <c r="C37" s="129"/>
      <c r="D37" s="394" t="str">
        <f>B3</f>
        <v>Grafik 1: Anteile der Wirtschaftsbereiche¹ an der Bruttowertschöpfung 
in jeweiligen Preisen in Schleswig-Holstein 2000 und 2024</v>
      </c>
      <c r="E37" s="394"/>
      <c r="F37" s="394"/>
      <c r="G37" s="46"/>
      <c r="H37" s="46"/>
      <c r="I37" s="46"/>
      <c r="J37" s="46"/>
    </row>
    <row r="38" spans="2:10" ht="12.75" customHeight="1" x14ac:dyDescent="0.2">
      <c r="B38" s="123"/>
      <c r="F38" s="46"/>
      <c r="G38" s="46"/>
      <c r="H38" s="46"/>
      <c r="I38" s="46"/>
      <c r="J38" s="46"/>
    </row>
    <row r="39" spans="2:10" ht="16.5" customHeight="1" x14ac:dyDescent="0.25">
      <c r="D39" s="141"/>
      <c r="E39" s="185">
        <v>2000</v>
      </c>
      <c r="F39" s="184">
        <v>2024</v>
      </c>
      <c r="G39" s="130"/>
    </row>
    <row r="40" spans="2:10" ht="16.5" customHeight="1" x14ac:dyDescent="0.25">
      <c r="D40" s="141"/>
      <c r="E40" s="392" t="s">
        <v>146</v>
      </c>
      <c r="F40" s="393"/>
      <c r="G40" s="130"/>
    </row>
    <row r="41" spans="2:10" ht="15" customHeight="1" x14ac:dyDescent="0.2">
      <c r="D41" s="144" t="s">
        <v>4</v>
      </c>
      <c r="E41" s="118">
        <v>2.0726432180766938</v>
      </c>
      <c r="F41" s="118">
        <v>1.579492835809041</v>
      </c>
      <c r="G41" s="131"/>
      <c r="H41" s="162"/>
    </row>
    <row r="42" spans="2:10" ht="15" customHeight="1" x14ac:dyDescent="0.2">
      <c r="D42" s="145" t="s">
        <v>5</v>
      </c>
      <c r="E42" s="118">
        <v>19.530956257802622</v>
      </c>
      <c r="F42" s="118">
        <v>19.502107013598089</v>
      </c>
      <c r="G42" s="131"/>
      <c r="H42" s="162"/>
    </row>
    <row r="43" spans="2:10" ht="15" customHeight="1" x14ac:dyDescent="0.2">
      <c r="D43" s="145" t="s">
        <v>2</v>
      </c>
      <c r="E43" s="118">
        <v>4.7050066896386156</v>
      </c>
      <c r="F43" s="118">
        <v>6.132561180400482</v>
      </c>
      <c r="G43" s="131"/>
      <c r="H43" s="162"/>
    </row>
    <row r="44" spans="2:10" ht="34.200000000000003" x14ac:dyDescent="0.2">
      <c r="D44" s="145" t="s">
        <v>131</v>
      </c>
      <c r="E44" s="118">
        <v>22.310208957623633</v>
      </c>
      <c r="F44" s="118">
        <v>21.940793684821283</v>
      </c>
      <c r="G44" s="131"/>
      <c r="H44" s="162"/>
    </row>
    <row r="45" spans="2:10" ht="34.200000000000003" x14ac:dyDescent="0.2">
      <c r="D45" s="145" t="s">
        <v>132</v>
      </c>
      <c r="E45" s="118">
        <v>25.600024877223095</v>
      </c>
      <c r="F45" s="118">
        <v>23.24709319245035</v>
      </c>
      <c r="G45" s="131"/>
      <c r="H45" s="162"/>
    </row>
    <row r="46" spans="2:10" ht="22.8" x14ac:dyDescent="0.2">
      <c r="D46" s="145" t="s">
        <v>3</v>
      </c>
      <c r="E46" s="118">
        <v>25.781159999635339</v>
      </c>
      <c r="F46" s="118">
        <v>27.597952092920764</v>
      </c>
      <c r="G46" s="131"/>
      <c r="H46" s="162"/>
    </row>
    <row r="47" spans="2:10" ht="15" customHeight="1" x14ac:dyDescent="0.2">
      <c r="D47" s="146" t="s">
        <v>147</v>
      </c>
      <c r="E47" s="143">
        <v>57916.432000000001</v>
      </c>
      <c r="F47" s="143">
        <v>114873.962</v>
      </c>
      <c r="G47" s="111"/>
      <c r="H47" s="111"/>
    </row>
    <row r="48" spans="2:10" s="46" customFormat="1" x14ac:dyDescent="0.2">
      <c r="B48" s="132"/>
      <c r="C48" s="133"/>
      <c r="D48" s="134"/>
      <c r="E48" s="134"/>
      <c r="F48" s="134"/>
      <c r="G48" s="133"/>
      <c r="H48" s="133"/>
      <c r="I48" s="133"/>
      <c r="J48" s="133"/>
    </row>
    <row r="49" spans="2:12" s="46" customFormat="1" x14ac:dyDescent="0.2">
      <c r="B49" s="135"/>
      <c r="D49" s="134" t="s">
        <v>176</v>
      </c>
      <c r="E49" s="134"/>
      <c r="F49" s="134"/>
      <c r="G49" s="133"/>
      <c r="H49" s="133"/>
      <c r="I49" s="133"/>
      <c r="J49" s="133"/>
      <c r="K49" s="133"/>
      <c r="L49" s="133"/>
    </row>
    <row r="50" spans="2:12" s="46" customFormat="1" x14ac:dyDescent="0.2">
      <c r="B50" s="135"/>
      <c r="G50" s="136"/>
      <c r="H50" s="136"/>
      <c r="I50" s="136"/>
      <c r="J50" s="136"/>
      <c r="K50" s="136"/>
      <c r="L50" s="136"/>
    </row>
    <row r="51" spans="2:12" s="46" customFormat="1" x14ac:dyDescent="0.2">
      <c r="B51" s="135"/>
      <c r="D51" s="137" t="s">
        <v>213</v>
      </c>
      <c r="E51" s="137"/>
      <c r="F51" s="137"/>
      <c r="G51" s="138"/>
      <c r="H51" s="138"/>
      <c r="I51" s="138"/>
      <c r="J51" s="138"/>
      <c r="K51" s="138"/>
      <c r="L51" s="138"/>
    </row>
    <row r="52" spans="2:12" x14ac:dyDescent="0.2">
      <c r="D52" s="139"/>
      <c r="E52" s="139"/>
      <c r="F52" s="139"/>
    </row>
    <row r="53" spans="2:12" x14ac:dyDescent="0.2">
      <c r="F53" s="140" t="s">
        <v>177</v>
      </c>
    </row>
  </sheetData>
  <mergeCells count="4">
    <mergeCell ref="B3:F3"/>
    <mergeCell ref="E40:F40"/>
    <mergeCell ref="D5:F5"/>
    <mergeCell ref="D37:F37"/>
  </mergeCells>
  <hyperlinks>
    <hyperlink ref="F53" location="Inhaltsverzeichnis!A1" display="› Zurück zum Inhaltsverzeichnis" xr:uid="{04A47B63-2223-467B-B95E-5E9574CC590A}"/>
  </hyperlinks>
  <pageMargins left="0.70866141732283472" right="0.70866141732283472" top="0.78740157480314965" bottom="0.78740157480314965" header="0.31496062992125984" footer="0.31496062992125984"/>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455B3-D17C-4A7F-AB9F-2B59423523E5}">
  <sheetPr codeName="Tabelle10"/>
  <dimension ref="A1:J67"/>
  <sheetViews>
    <sheetView topLeftCell="A58" zoomScaleNormal="100" workbookViewId="0">
      <selection activeCell="H38" sqref="H38"/>
    </sheetView>
  </sheetViews>
  <sheetFormatPr baseColWidth="10" defaultColWidth="10.875" defaultRowHeight="11.4" x14ac:dyDescent="0.2"/>
  <cols>
    <col min="1" max="1" width="2.75" style="122" customWidth="1"/>
    <col min="2" max="2" width="18.875" style="122" bestFit="1" customWidth="1"/>
    <col min="3" max="3" width="4" style="122" bestFit="1" customWidth="1"/>
    <col min="4" max="6" width="35.875" style="122" customWidth="1"/>
    <col min="7" max="16384" width="10.875" style="122"/>
  </cols>
  <sheetData>
    <row r="1" spans="1:10" s="46" customFormat="1" ht="13.8" x14ac:dyDescent="0.2">
      <c r="B1" s="40"/>
      <c r="D1" s="41"/>
    </row>
    <row r="2" spans="1:10" s="95" customFormat="1" ht="20.100000000000001" customHeight="1" x14ac:dyDescent="0.25">
      <c r="A2" s="93"/>
      <c r="B2" s="94" t="s">
        <v>44</v>
      </c>
      <c r="D2" s="98"/>
    </row>
    <row r="3" spans="1:10" s="80" customFormat="1" ht="50.25" customHeight="1" x14ac:dyDescent="0.2">
      <c r="A3" s="65"/>
      <c r="B3" s="381" t="s">
        <v>208</v>
      </c>
      <c r="C3" s="381"/>
      <c r="D3" s="381"/>
      <c r="E3" s="381"/>
      <c r="F3" s="381"/>
      <c r="G3" s="83"/>
      <c r="H3" s="83"/>
      <c r="I3" s="83"/>
    </row>
    <row r="4" spans="1:10" ht="35.25" customHeight="1" x14ac:dyDescent="0.25">
      <c r="F4" s="159"/>
      <c r="G4" s="159"/>
      <c r="H4" s="159"/>
      <c r="I4" s="159"/>
      <c r="J4" s="159"/>
    </row>
    <row r="5" spans="1:10" ht="30.75" customHeight="1" x14ac:dyDescent="0.2">
      <c r="B5" s="123"/>
      <c r="C5" s="129"/>
      <c r="D5" s="396" t="str">
        <f>B3</f>
        <v>Grafik 2: Bruttoinlandsprodukt (preisbereinigt, verkettet) und Erwerbstätige 
in Schleswig-Holstein 2001 – 2024 (Veränderung gegenüber Vorjahr in Prozent)</v>
      </c>
      <c r="E5" s="396"/>
      <c r="F5" s="396"/>
      <c r="G5" s="46"/>
      <c r="H5" s="46"/>
      <c r="I5" s="46"/>
      <c r="J5" s="46"/>
    </row>
    <row r="6" spans="1:10" x14ac:dyDescent="0.2">
      <c r="F6" s="46"/>
      <c r="G6" s="46"/>
      <c r="H6" s="46"/>
      <c r="I6" s="46"/>
      <c r="J6" s="46"/>
    </row>
    <row r="7" spans="1:10" x14ac:dyDescent="0.2">
      <c r="F7" s="46"/>
      <c r="G7" s="46"/>
      <c r="H7" s="46"/>
      <c r="I7" s="46"/>
      <c r="J7" s="46"/>
    </row>
    <row r="8" spans="1:10" x14ac:dyDescent="0.2">
      <c r="F8" s="46"/>
      <c r="G8" s="46"/>
      <c r="H8" s="46"/>
      <c r="I8" s="46"/>
      <c r="J8" s="46"/>
    </row>
    <row r="9" spans="1:10" x14ac:dyDescent="0.2">
      <c r="F9" s="46"/>
      <c r="G9" s="46"/>
      <c r="H9" s="46"/>
      <c r="I9" s="46"/>
      <c r="J9" s="46"/>
    </row>
    <row r="10" spans="1:10" x14ac:dyDescent="0.2">
      <c r="F10" s="125"/>
      <c r="G10" s="46"/>
      <c r="H10" s="46"/>
      <c r="I10" s="46"/>
      <c r="J10" s="126"/>
    </row>
    <row r="11" spans="1:10" x14ac:dyDescent="0.2">
      <c r="F11" s="127"/>
      <c r="G11" s="128"/>
      <c r="H11" s="46"/>
      <c r="I11" s="46"/>
      <c r="J11" s="126"/>
    </row>
    <row r="12" spans="1:10" x14ac:dyDescent="0.2">
      <c r="F12" s="127"/>
      <c r="G12" s="128"/>
      <c r="H12" s="46"/>
      <c r="I12" s="46"/>
      <c r="J12" s="126"/>
    </row>
    <row r="13" spans="1:10" x14ac:dyDescent="0.2">
      <c r="F13" s="127"/>
      <c r="G13" s="128"/>
      <c r="H13" s="46"/>
      <c r="I13" s="46"/>
      <c r="J13" s="126"/>
    </row>
    <row r="14" spans="1:10" x14ac:dyDescent="0.2">
      <c r="F14" s="127"/>
      <c r="G14" s="128"/>
      <c r="H14" s="46"/>
      <c r="I14" s="46"/>
      <c r="J14" s="126"/>
    </row>
    <row r="15" spans="1:10" x14ac:dyDescent="0.2">
      <c r="F15" s="127"/>
      <c r="G15" s="128"/>
      <c r="H15" s="46"/>
      <c r="I15" s="46"/>
      <c r="J15" s="126"/>
    </row>
    <row r="16" spans="1:10" x14ac:dyDescent="0.2">
      <c r="F16" s="127"/>
      <c r="G16" s="128"/>
      <c r="H16" s="46"/>
      <c r="I16" s="46"/>
      <c r="J16" s="126"/>
    </row>
    <row r="17" spans="5:10" x14ac:dyDescent="0.2">
      <c r="F17" s="127"/>
      <c r="G17" s="128"/>
      <c r="H17" s="46"/>
      <c r="I17" s="46"/>
      <c r="J17" s="126"/>
    </row>
    <row r="18" spans="5:10" x14ac:dyDescent="0.2">
      <c r="F18" s="127"/>
      <c r="G18" s="128"/>
      <c r="H18" s="46"/>
      <c r="I18" s="46"/>
      <c r="J18" s="126"/>
    </row>
    <row r="19" spans="5:10" x14ac:dyDescent="0.2">
      <c r="F19" s="127"/>
      <c r="G19" s="128"/>
      <c r="H19" s="46"/>
      <c r="I19" s="46"/>
      <c r="J19" s="126"/>
    </row>
    <row r="20" spans="5:10" x14ac:dyDescent="0.2">
      <c r="F20" s="127"/>
      <c r="G20" s="128"/>
      <c r="H20" s="46"/>
      <c r="I20" s="46"/>
      <c r="J20" s="126"/>
    </row>
    <row r="21" spans="5:10" x14ac:dyDescent="0.2">
      <c r="F21" s="127"/>
      <c r="G21" s="128"/>
      <c r="H21" s="46"/>
      <c r="I21" s="46"/>
      <c r="J21" s="46"/>
    </row>
    <row r="22" spans="5:10" x14ac:dyDescent="0.2">
      <c r="F22" s="127"/>
      <c r="G22" s="128"/>
      <c r="H22" s="46"/>
      <c r="I22" s="46"/>
      <c r="J22" s="46"/>
    </row>
    <row r="23" spans="5:10" x14ac:dyDescent="0.2">
      <c r="F23" s="127"/>
      <c r="G23" s="128"/>
      <c r="H23" s="46"/>
      <c r="I23" s="46"/>
      <c r="J23" s="46"/>
    </row>
    <row r="24" spans="5:10" x14ac:dyDescent="0.2">
      <c r="F24" s="127"/>
      <c r="G24" s="128"/>
      <c r="H24" s="46"/>
      <c r="I24" s="46"/>
      <c r="J24" s="46"/>
    </row>
    <row r="25" spans="5:10" x14ac:dyDescent="0.2">
      <c r="F25" s="127"/>
      <c r="G25" s="128"/>
      <c r="H25" s="46"/>
      <c r="I25" s="46"/>
      <c r="J25" s="46"/>
    </row>
    <row r="26" spans="5:10" x14ac:dyDescent="0.2">
      <c r="E26" s="46"/>
      <c r="F26" s="46"/>
      <c r="G26" s="46"/>
      <c r="H26" s="46"/>
      <c r="I26" s="46"/>
      <c r="J26" s="46"/>
    </row>
    <row r="27" spans="5:10" x14ac:dyDescent="0.2">
      <c r="E27" s="46"/>
      <c r="F27" s="46"/>
      <c r="G27" s="46"/>
      <c r="H27" s="46"/>
      <c r="I27" s="46"/>
      <c r="J27" s="46"/>
    </row>
    <row r="35" spans="2:10" ht="30.75" customHeight="1" x14ac:dyDescent="0.2">
      <c r="B35" s="123"/>
      <c r="C35" s="129"/>
      <c r="D35" s="396" t="str">
        <f>B3</f>
        <v>Grafik 2: Bruttoinlandsprodukt (preisbereinigt, verkettet) und Erwerbstätige 
in Schleswig-Holstein 2001 – 2024 (Veränderung gegenüber Vorjahr in Prozent)</v>
      </c>
      <c r="E35" s="396"/>
      <c r="F35" s="396"/>
      <c r="G35" s="46"/>
      <c r="H35" s="46"/>
      <c r="I35" s="46"/>
      <c r="J35" s="46"/>
    </row>
    <row r="36" spans="2:10" ht="13.8" x14ac:dyDescent="0.2">
      <c r="D36" s="156"/>
    </row>
    <row r="37" spans="2:10" ht="13.8" x14ac:dyDescent="0.2">
      <c r="B37" s="160"/>
      <c r="D37" s="161"/>
    </row>
    <row r="38" spans="2:10" ht="24.75" customHeight="1" x14ac:dyDescent="0.25">
      <c r="D38" s="382" t="s">
        <v>0</v>
      </c>
      <c r="E38" s="377" t="s">
        <v>148</v>
      </c>
      <c r="F38" s="375" t="s">
        <v>107</v>
      </c>
      <c r="G38" s="130"/>
    </row>
    <row r="39" spans="2:10" x14ac:dyDescent="0.2">
      <c r="D39" s="382"/>
      <c r="E39" s="410" t="s">
        <v>149</v>
      </c>
      <c r="F39" s="397"/>
      <c r="G39" s="46"/>
    </row>
    <row r="40" spans="2:10" ht="15" customHeight="1" x14ac:dyDescent="0.2">
      <c r="D40" s="451">
        <v>2001</v>
      </c>
      <c r="E40" s="363">
        <v>1.24071078347109</v>
      </c>
      <c r="F40" s="363">
        <v>0.20615877960226214</v>
      </c>
      <c r="G40" s="162"/>
      <c r="H40" s="162"/>
    </row>
    <row r="41" spans="2:10" ht="15" customHeight="1" x14ac:dyDescent="0.2">
      <c r="D41" s="452">
        <v>2002</v>
      </c>
      <c r="E41" s="363">
        <v>-1.9558630785961699</v>
      </c>
      <c r="F41" s="363">
        <v>-0.69934250314619817</v>
      </c>
      <c r="G41" s="162"/>
      <c r="H41" s="162"/>
    </row>
    <row r="42" spans="2:10" ht="15" customHeight="1" x14ac:dyDescent="0.2">
      <c r="D42" s="452">
        <v>2003</v>
      </c>
      <c r="E42" s="363">
        <v>-0.31003514371624502</v>
      </c>
      <c r="F42" s="363">
        <v>-1.4472358194578874</v>
      </c>
      <c r="G42" s="162"/>
      <c r="H42" s="162"/>
    </row>
    <row r="43" spans="2:10" ht="15" customHeight="1" x14ac:dyDescent="0.2">
      <c r="D43" s="452">
        <v>2004</v>
      </c>
      <c r="E43" s="363">
        <v>1.5023592917151201</v>
      </c>
      <c r="F43" s="363">
        <v>6.6320362255154919E-2</v>
      </c>
      <c r="G43" s="162"/>
      <c r="H43" s="162"/>
    </row>
    <row r="44" spans="2:10" ht="15" customHeight="1" x14ac:dyDescent="0.2">
      <c r="D44" s="452">
        <v>2005</v>
      </c>
      <c r="E44" s="363">
        <v>0.404551548844029</v>
      </c>
      <c r="F44" s="363">
        <v>-0.19954272449945165</v>
      </c>
      <c r="G44" s="162"/>
      <c r="H44" s="162"/>
    </row>
    <row r="45" spans="2:10" ht="15" customHeight="1" x14ac:dyDescent="0.2">
      <c r="D45" s="452">
        <v>2006</v>
      </c>
      <c r="E45" s="363">
        <v>2.6276665099942602</v>
      </c>
      <c r="F45" s="363">
        <v>0.7867391869037732</v>
      </c>
      <c r="G45" s="162"/>
      <c r="H45" s="162"/>
    </row>
    <row r="46" spans="2:10" ht="15" customHeight="1" x14ac:dyDescent="0.2">
      <c r="D46" s="452">
        <v>2007</v>
      </c>
      <c r="E46" s="363">
        <v>0.929563996140649</v>
      </c>
      <c r="F46" s="363">
        <v>1.637332505235392</v>
      </c>
      <c r="G46" s="162"/>
      <c r="H46" s="162"/>
    </row>
    <row r="47" spans="2:10" ht="15" customHeight="1" x14ac:dyDescent="0.2">
      <c r="D47" s="452">
        <v>2008</v>
      </c>
      <c r="E47" s="363">
        <v>2.4638307305770999</v>
      </c>
      <c r="F47" s="363">
        <v>1.473698087309856</v>
      </c>
      <c r="G47" s="162"/>
      <c r="H47" s="162"/>
    </row>
    <row r="48" spans="2:10" ht="15" customHeight="1" x14ac:dyDescent="0.2">
      <c r="D48" s="452">
        <v>2009</v>
      </c>
      <c r="E48" s="363">
        <v>-3.4185751575871</v>
      </c>
      <c r="F48" s="363">
        <v>0.44453818695365044</v>
      </c>
      <c r="G48" s="162"/>
      <c r="H48" s="162"/>
    </row>
    <row r="49" spans="4:8" ht="15" customHeight="1" x14ac:dyDescent="0.2">
      <c r="D49" s="452">
        <v>2010</v>
      </c>
      <c r="E49" s="363">
        <v>0.90453383948656796</v>
      </c>
      <c r="F49" s="363">
        <v>0.3584998394663188</v>
      </c>
      <c r="G49" s="162"/>
      <c r="H49" s="162"/>
    </row>
    <row r="50" spans="4:8" ht="15" customHeight="1" x14ac:dyDescent="0.2">
      <c r="D50" s="452">
        <v>2011</v>
      </c>
      <c r="E50" s="363">
        <v>2.7398165134326802</v>
      </c>
      <c r="F50" s="363">
        <v>0.96620518271095079</v>
      </c>
      <c r="G50" s="162"/>
      <c r="H50" s="162"/>
    </row>
    <row r="51" spans="4:8" ht="15" customHeight="1" x14ac:dyDescent="0.2">
      <c r="D51" s="452">
        <v>2012</v>
      </c>
      <c r="E51" s="363">
        <v>2.4467682818529402</v>
      </c>
      <c r="F51" s="363">
        <v>0.71608614658251213</v>
      </c>
      <c r="G51" s="162"/>
      <c r="H51" s="162"/>
    </row>
    <row r="52" spans="4:8" ht="15" customHeight="1" x14ac:dyDescent="0.2">
      <c r="D52" s="452">
        <v>2013</v>
      </c>
      <c r="E52" s="363">
        <v>-1.01923041012676</v>
      </c>
      <c r="F52" s="363">
        <v>0.43880837359100155</v>
      </c>
      <c r="G52" s="162"/>
      <c r="H52" s="162"/>
    </row>
    <row r="53" spans="4:8" ht="15" customHeight="1" x14ac:dyDescent="0.2">
      <c r="D53" s="452">
        <v>2014</v>
      </c>
      <c r="E53" s="363">
        <v>1.5323147261469601</v>
      </c>
      <c r="F53" s="363">
        <v>0.70447416433228227</v>
      </c>
      <c r="G53" s="162"/>
      <c r="H53" s="162"/>
    </row>
    <row r="54" spans="4:8" ht="15" customHeight="1" x14ac:dyDescent="0.2">
      <c r="D54" s="452">
        <v>2015</v>
      </c>
      <c r="E54" s="363">
        <v>1.0355631226337201</v>
      </c>
      <c r="F54" s="363">
        <v>0.97026910889877627</v>
      </c>
      <c r="G54" s="162"/>
      <c r="H54" s="162"/>
    </row>
    <row r="55" spans="4:8" ht="15" customHeight="1" x14ac:dyDescent="0.2">
      <c r="D55" s="452">
        <v>2016</v>
      </c>
      <c r="E55" s="363">
        <v>2.3040288932557602</v>
      </c>
      <c r="F55" s="363">
        <v>1.4749970983304479</v>
      </c>
      <c r="G55" s="162"/>
      <c r="H55" s="162"/>
    </row>
    <row r="56" spans="4:8" ht="15" customHeight="1" x14ac:dyDescent="0.2">
      <c r="D56" s="452">
        <v>2017</v>
      </c>
      <c r="E56" s="363">
        <v>3.1468465032508299</v>
      </c>
      <c r="F56" s="363">
        <v>1.3520541943893534</v>
      </c>
      <c r="G56" s="162"/>
      <c r="H56" s="162"/>
    </row>
    <row r="57" spans="4:8" ht="15" customHeight="1" x14ac:dyDescent="0.2">
      <c r="D57" s="452">
        <v>2018</v>
      </c>
      <c r="E57" s="363">
        <v>0.65976275731801104</v>
      </c>
      <c r="F57" s="363">
        <v>1.2450830504889581</v>
      </c>
      <c r="G57" s="162"/>
      <c r="H57" s="162"/>
    </row>
    <row r="58" spans="4:8" ht="15" customHeight="1" x14ac:dyDescent="0.2">
      <c r="D58" s="453">
        <v>2019</v>
      </c>
      <c r="E58" s="449">
        <v>2.3015469435611</v>
      </c>
      <c r="F58" s="449">
        <v>1.0580155968268059</v>
      </c>
      <c r="G58" s="165"/>
      <c r="H58" s="162"/>
    </row>
    <row r="59" spans="4:8" ht="15" customHeight="1" x14ac:dyDescent="0.2">
      <c r="D59" s="453">
        <v>2020</v>
      </c>
      <c r="E59" s="449">
        <v>-2.2005164196212599</v>
      </c>
      <c r="F59" s="449">
        <v>-0.29732174569349468</v>
      </c>
      <c r="G59" s="165"/>
      <c r="H59" s="162"/>
    </row>
    <row r="60" spans="4:8" ht="15" customHeight="1" x14ac:dyDescent="0.2">
      <c r="D60" s="453">
        <v>2021</v>
      </c>
      <c r="E60" s="449">
        <v>-0.30643839280943702</v>
      </c>
      <c r="F60" s="449">
        <v>0.56169768655418295</v>
      </c>
      <c r="G60" s="165"/>
      <c r="H60" s="162"/>
    </row>
    <row r="61" spans="4:8" ht="15" customHeight="1" x14ac:dyDescent="0.2">
      <c r="D61" s="453">
        <v>2022</v>
      </c>
      <c r="E61" s="449">
        <v>1.2264619363731999</v>
      </c>
      <c r="F61" s="449">
        <v>1.2323888846991196</v>
      </c>
      <c r="G61" s="165"/>
      <c r="H61" s="162"/>
    </row>
    <row r="62" spans="4:8" ht="15" customHeight="1" x14ac:dyDescent="0.2">
      <c r="D62" s="453">
        <v>2023</v>
      </c>
      <c r="E62" s="449">
        <v>-0.72931193135752603</v>
      </c>
      <c r="F62" s="449">
        <v>0.81332207896058151</v>
      </c>
      <c r="G62" s="165"/>
      <c r="H62" s="162"/>
    </row>
    <row r="63" spans="4:8" ht="15" customHeight="1" x14ac:dyDescent="0.2">
      <c r="D63" s="454">
        <v>2024</v>
      </c>
      <c r="E63" s="450">
        <v>1.17382480924595</v>
      </c>
      <c r="F63" s="450">
        <v>0.48527662055475673</v>
      </c>
      <c r="G63" s="165"/>
      <c r="H63" s="162"/>
    </row>
    <row r="64" spans="4:8" ht="13.2" x14ac:dyDescent="0.2">
      <c r="D64" s="166"/>
      <c r="E64" s="164"/>
      <c r="F64" s="164"/>
      <c r="G64" s="139"/>
    </row>
    <row r="65" spans="4:7" ht="22.5" customHeight="1" x14ac:dyDescent="0.2">
      <c r="D65" s="395" t="s">
        <v>216</v>
      </c>
      <c r="E65" s="395"/>
      <c r="F65" s="395"/>
      <c r="G65" s="139"/>
    </row>
    <row r="66" spans="4:7" x14ac:dyDescent="0.2">
      <c r="D66" s="163"/>
      <c r="E66" s="46"/>
      <c r="F66" s="46"/>
    </row>
    <row r="67" spans="4:7" x14ac:dyDescent="0.2">
      <c r="F67" s="140" t="s">
        <v>177</v>
      </c>
    </row>
  </sheetData>
  <mergeCells count="6">
    <mergeCell ref="D65:F65"/>
    <mergeCell ref="B3:F3"/>
    <mergeCell ref="D35:F35"/>
    <mergeCell ref="D38:D39"/>
    <mergeCell ref="E39:F39"/>
    <mergeCell ref="D5:F5"/>
  </mergeCells>
  <hyperlinks>
    <hyperlink ref="F67" location="Inhaltsverzeichnis!A1" display="› Zurück zum Inhaltsverzeichnis" xr:uid="{0AA62E9A-2D8E-4A3B-9524-43E77D212D2F}"/>
  </hyperlinks>
  <pageMargins left="0.7" right="0.7" top="0.78740157499999996" bottom="0.78740157499999996" header="0.3" footer="0.3"/>
  <pageSetup paperSize="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EF62F-9744-4A28-8148-C85CBB0C195F}">
  <sheetPr codeName="Tabelle12"/>
  <dimension ref="A1:Q149"/>
  <sheetViews>
    <sheetView zoomScaleNormal="100" workbookViewId="0">
      <pane ySplit="5" topLeftCell="A115" activePane="bottomLeft" state="frozen"/>
      <selection pane="bottomLeft"/>
    </sheetView>
  </sheetViews>
  <sheetFormatPr baseColWidth="10" defaultColWidth="11.375" defaultRowHeight="11.4" x14ac:dyDescent="0.2"/>
  <cols>
    <col min="1" max="1" width="2.75" style="9" customWidth="1"/>
    <col min="2" max="4" width="12.75" style="100" customWidth="1"/>
    <col min="5" max="5" width="14.375" style="100" customWidth="1"/>
    <col min="6" max="6" width="12.75" style="100" customWidth="1"/>
    <col min="7" max="7" width="14.375" style="100" customWidth="1"/>
    <col min="8" max="8" width="15.875" style="100" customWidth="1"/>
    <col min="9" max="9" width="14.125" style="100" customWidth="1"/>
    <col min="10" max="10" width="11.375" style="9"/>
    <col min="11" max="16384" width="11.375" style="100"/>
  </cols>
  <sheetData>
    <row r="1" spans="1:17" s="46" customFormat="1" ht="13.8" x14ac:dyDescent="0.2">
      <c r="C1" s="40"/>
      <c r="E1" s="41"/>
    </row>
    <row r="2" spans="1:17" s="95" customFormat="1" ht="20.100000000000001" customHeight="1" x14ac:dyDescent="0.25">
      <c r="A2" s="93"/>
      <c r="B2" s="97" t="s">
        <v>44</v>
      </c>
      <c r="C2" s="97"/>
      <c r="D2" s="97"/>
      <c r="E2" s="97"/>
      <c r="F2" s="97"/>
      <c r="G2" s="97"/>
      <c r="H2" s="97"/>
    </row>
    <row r="3" spans="1:17" s="80" customFormat="1" ht="50.25" customHeight="1" x14ac:dyDescent="0.2">
      <c r="A3" s="65"/>
      <c r="B3" s="381" t="s">
        <v>209</v>
      </c>
      <c r="C3" s="381"/>
      <c r="D3" s="381"/>
      <c r="E3" s="381"/>
      <c r="F3" s="381"/>
      <c r="G3" s="381"/>
      <c r="H3" s="381"/>
      <c r="I3" s="381"/>
    </row>
    <row r="4" spans="1:17" ht="20.100000000000001" customHeight="1" x14ac:dyDescent="0.2">
      <c r="A4" s="42"/>
      <c r="B4" s="382" t="s">
        <v>0</v>
      </c>
      <c r="C4" s="383" t="s">
        <v>16</v>
      </c>
      <c r="D4" s="398" t="s">
        <v>17</v>
      </c>
      <c r="E4" s="398"/>
      <c r="F4" s="398"/>
      <c r="G4" s="398"/>
      <c r="H4" s="398"/>
      <c r="I4" s="399"/>
    </row>
    <row r="5" spans="1:17" ht="68.400000000000006" x14ac:dyDescent="0.2">
      <c r="A5" s="42"/>
      <c r="B5" s="382"/>
      <c r="C5" s="383"/>
      <c r="D5" s="105" t="s">
        <v>18</v>
      </c>
      <c r="E5" s="105" t="s">
        <v>5</v>
      </c>
      <c r="F5" s="105" t="s">
        <v>2</v>
      </c>
      <c r="G5" s="105" t="s">
        <v>131</v>
      </c>
      <c r="H5" s="105" t="s">
        <v>6</v>
      </c>
      <c r="I5" s="149" t="s">
        <v>3</v>
      </c>
      <c r="J5" s="20"/>
    </row>
    <row r="6" spans="1:17" ht="15" customHeight="1" x14ac:dyDescent="0.2">
      <c r="A6" s="20"/>
      <c r="B6" s="148"/>
      <c r="C6" s="380" t="s">
        <v>7</v>
      </c>
      <c r="D6" s="380"/>
      <c r="E6" s="380"/>
      <c r="F6" s="380"/>
      <c r="G6" s="380"/>
      <c r="H6" s="380"/>
      <c r="I6" s="380"/>
      <c r="J6" s="103"/>
      <c r="K6" s="9"/>
    </row>
    <row r="7" spans="1:17" ht="15" customHeight="1" x14ac:dyDescent="0.2">
      <c r="A7" s="20"/>
      <c r="B7" s="187">
        <v>2000</v>
      </c>
      <c r="C7" s="167">
        <v>33275.11</v>
      </c>
      <c r="D7" s="167">
        <v>284.31799999999998</v>
      </c>
      <c r="E7" s="167">
        <v>7545.7749999999996</v>
      </c>
      <c r="F7" s="167">
        <v>2427.1959999999999</v>
      </c>
      <c r="G7" s="167">
        <v>8174.2179999999998</v>
      </c>
      <c r="H7" s="167">
        <v>3640.82</v>
      </c>
      <c r="I7" s="167">
        <v>11202.782999999999</v>
      </c>
      <c r="K7" s="182"/>
      <c r="L7" s="179"/>
      <c r="M7" s="179"/>
      <c r="N7" s="179"/>
      <c r="O7" s="179"/>
      <c r="P7" s="179"/>
      <c r="Q7" s="179"/>
    </row>
    <row r="8" spans="1:17" ht="15" customHeight="1" x14ac:dyDescent="0.2">
      <c r="A8" s="20"/>
      <c r="B8" s="187">
        <v>2001</v>
      </c>
      <c r="C8" s="167">
        <v>33765.760000000002</v>
      </c>
      <c r="D8" s="167">
        <v>270.56299999999999</v>
      </c>
      <c r="E8" s="167">
        <v>7611.8519999999999</v>
      </c>
      <c r="F8" s="167">
        <v>2332.3780000000002</v>
      </c>
      <c r="G8" s="167">
        <v>8385.4509999999991</v>
      </c>
      <c r="H8" s="167">
        <v>3738.069</v>
      </c>
      <c r="I8" s="167">
        <v>11427.447</v>
      </c>
      <c r="K8" s="182"/>
      <c r="L8" s="179"/>
      <c r="M8" s="179"/>
      <c r="N8" s="179"/>
      <c r="O8" s="179"/>
      <c r="P8" s="179"/>
      <c r="Q8" s="179"/>
    </row>
    <row r="9" spans="1:17" ht="15" customHeight="1" x14ac:dyDescent="0.2">
      <c r="A9" s="20"/>
      <c r="B9" s="187">
        <v>2002</v>
      </c>
      <c r="C9" s="167">
        <v>33962.252999999997</v>
      </c>
      <c r="D9" s="167">
        <v>266.45299999999997</v>
      </c>
      <c r="E9" s="167">
        <v>7563.875</v>
      </c>
      <c r="F9" s="167">
        <v>2206.3440000000001</v>
      </c>
      <c r="G9" s="167">
        <v>8401.92</v>
      </c>
      <c r="H9" s="167">
        <v>3822.89</v>
      </c>
      <c r="I9" s="167">
        <v>11700.771000000001</v>
      </c>
      <c r="K9" s="182"/>
      <c r="L9" s="179"/>
      <c r="M9" s="179"/>
      <c r="N9" s="179"/>
      <c r="O9" s="179"/>
      <c r="P9" s="179"/>
      <c r="Q9" s="179"/>
    </row>
    <row r="10" spans="1:17" ht="15" customHeight="1" x14ac:dyDescent="0.2">
      <c r="A10" s="20"/>
      <c r="B10" s="187">
        <v>2003</v>
      </c>
      <c r="C10" s="167">
        <v>33947.559000000001</v>
      </c>
      <c r="D10" s="167">
        <v>262.709</v>
      </c>
      <c r="E10" s="167">
        <v>7595.4960000000001</v>
      </c>
      <c r="F10" s="167">
        <v>2100.8429999999998</v>
      </c>
      <c r="G10" s="167">
        <v>8284.232</v>
      </c>
      <c r="H10" s="167">
        <v>3889.0749999999998</v>
      </c>
      <c r="I10" s="167">
        <v>11815.204</v>
      </c>
      <c r="K10" s="182"/>
      <c r="L10" s="179"/>
      <c r="M10" s="179"/>
      <c r="N10" s="179"/>
      <c r="O10" s="179"/>
      <c r="P10" s="179"/>
      <c r="Q10" s="179"/>
    </row>
    <row r="11" spans="1:17" ht="15" customHeight="1" x14ac:dyDescent="0.2">
      <c r="A11" s="20"/>
      <c r="B11" s="187">
        <v>2004</v>
      </c>
      <c r="C11" s="167">
        <v>33744.212</v>
      </c>
      <c r="D11" s="167">
        <v>267.04500000000002</v>
      </c>
      <c r="E11" s="167">
        <v>7520.1639999999998</v>
      </c>
      <c r="F11" s="167">
        <v>1970.346</v>
      </c>
      <c r="G11" s="167">
        <v>8069.1949999999997</v>
      </c>
      <c r="H11" s="167">
        <v>4041.6149999999998</v>
      </c>
      <c r="I11" s="167">
        <v>11875.847</v>
      </c>
      <c r="K11" s="182"/>
      <c r="L11" s="179"/>
      <c r="M11" s="179"/>
      <c r="N11" s="179"/>
      <c r="O11" s="179"/>
      <c r="P11" s="179"/>
      <c r="Q11" s="179"/>
    </row>
    <row r="12" spans="1:17" ht="15" customHeight="1" x14ac:dyDescent="0.2">
      <c r="A12" s="20"/>
      <c r="B12" s="187"/>
      <c r="C12" s="167"/>
      <c r="D12" s="167"/>
      <c r="E12" s="167"/>
      <c r="F12" s="167"/>
      <c r="G12" s="167"/>
      <c r="H12" s="167"/>
      <c r="I12" s="167"/>
      <c r="K12" s="182"/>
      <c r="L12" s="179"/>
      <c r="M12" s="179"/>
      <c r="N12" s="179"/>
      <c r="O12" s="179"/>
      <c r="P12" s="179"/>
      <c r="Q12" s="179"/>
    </row>
    <row r="13" spans="1:17" ht="15" customHeight="1" x14ac:dyDescent="0.2">
      <c r="A13" s="20"/>
      <c r="B13" s="187">
        <v>2005</v>
      </c>
      <c r="C13" s="167">
        <v>33527.620999999999</v>
      </c>
      <c r="D13" s="167">
        <v>258.30200000000002</v>
      </c>
      <c r="E13" s="167">
        <v>7347.1779999999999</v>
      </c>
      <c r="F13" s="167">
        <v>1859.894</v>
      </c>
      <c r="G13" s="167">
        <v>8028.6469999999999</v>
      </c>
      <c r="H13" s="167">
        <v>3995.6</v>
      </c>
      <c r="I13" s="167">
        <v>12038</v>
      </c>
      <c r="K13" s="182"/>
      <c r="L13" s="179"/>
      <c r="M13" s="179"/>
      <c r="N13" s="179"/>
      <c r="O13" s="179"/>
      <c r="P13" s="179"/>
      <c r="Q13" s="179"/>
    </row>
    <row r="14" spans="1:17" ht="15" customHeight="1" x14ac:dyDescent="0.2">
      <c r="A14" s="20"/>
      <c r="B14" s="187">
        <v>2006</v>
      </c>
      <c r="C14" s="167">
        <v>33785.421000000002</v>
      </c>
      <c r="D14" s="167">
        <v>260.339</v>
      </c>
      <c r="E14" s="167">
        <v>7493.0150000000003</v>
      </c>
      <c r="F14" s="167">
        <v>1881.261</v>
      </c>
      <c r="G14" s="167">
        <v>8118.23</v>
      </c>
      <c r="H14" s="167">
        <v>4118.6189999999997</v>
      </c>
      <c r="I14" s="167">
        <v>11913.957</v>
      </c>
      <c r="K14" s="182"/>
      <c r="L14" s="179"/>
      <c r="M14" s="179"/>
      <c r="N14" s="179"/>
      <c r="O14" s="179"/>
      <c r="P14" s="179"/>
      <c r="Q14" s="179"/>
    </row>
    <row r="15" spans="1:17" ht="15" customHeight="1" x14ac:dyDescent="0.2">
      <c r="A15" s="20"/>
      <c r="B15" s="187">
        <v>2007</v>
      </c>
      <c r="C15" s="167">
        <v>34699.482000000004</v>
      </c>
      <c r="D15" s="167">
        <v>273.82799999999997</v>
      </c>
      <c r="E15" s="167">
        <v>7772.4750000000004</v>
      </c>
      <c r="F15" s="167">
        <v>1929.432</v>
      </c>
      <c r="G15" s="167">
        <v>8424.0689999999995</v>
      </c>
      <c r="H15" s="167">
        <v>4263.3609999999999</v>
      </c>
      <c r="I15" s="167">
        <v>12036.316999999999</v>
      </c>
      <c r="K15" s="182"/>
      <c r="L15" s="179"/>
      <c r="M15" s="179"/>
      <c r="N15" s="179"/>
      <c r="O15" s="179"/>
      <c r="P15" s="179"/>
      <c r="Q15" s="179"/>
    </row>
    <row r="16" spans="1:17" ht="15" customHeight="1" x14ac:dyDescent="0.2">
      <c r="A16" s="20"/>
      <c r="B16" s="187">
        <v>2008</v>
      </c>
      <c r="C16" s="167">
        <v>35715.417000000001</v>
      </c>
      <c r="D16" s="167">
        <v>285.79300000000001</v>
      </c>
      <c r="E16" s="167">
        <v>7966.2259999999997</v>
      </c>
      <c r="F16" s="167">
        <v>1964.114</v>
      </c>
      <c r="G16" s="167">
        <v>8752.1980000000003</v>
      </c>
      <c r="H16" s="167">
        <v>4437.1989999999996</v>
      </c>
      <c r="I16" s="167">
        <v>12309.887000000001</v>
      </c>
      <c r="K16" s="182"/>
      <c r="L16" s="179"/>
      <c r="M16" s="179"/>
      <c r="N16" s="179"/>
      <c r="O16" s="179"/>
      <c r="P16" s="179"/>
      <c r="Q16" s="179"/>
    </row>
    <row r="17" spans="1:17" ht="15" customHeight="1" x14ac:dyDescent="0.2">
      <c r="A17" s="20"/>
      <c r="B17" s="187">
        <v>2009</v>
      </c>
      <c r="C17" s="167">
        <v>36240.771999999997</v>
      </c>
      <c r="D17" s="167">
        <v>298.31</v>
      </c>
      <c r="E17" s="167">
        <v>7817.5150000000003</v>
      </c>
      <c r="F17" s="167">
        <v>1997.6669999999999</v>
      </c>
      <c r="G17" s="167">
        <v>8878.1759999999995</v>
      </c>
      <c r="H17" s="167">
        <v>4493.1019999999999</v>
      </c>
      <c r="I17" s="167">
        <v>12756.002</v>
      </c>
      <c r="K17" s="182"/>
      <c r="L17" s="179"/>
      <c r="M17" s="179"/>
      <c r="N17" s="179"/>
      <c r="O17" s="179"/>
      <c r="P17" s="179"/>
      <c r="Q17" s="179"/>
    </row>
    <row r="18" spans="1:17" ht="15" customHeight="1" x14ac:dyDescent="0.2">
      <c r="A18" s="20"/>
      <c r="B18" s="187"/>
      <c r="C18" s="167"/>
      <c r="D18" s="167"/>
      <c r="E18" s="167"/>
      <c r="F18" s="167"/>
      <c r="G18" s="167"/>
      <c r="H18" s="167"/>
      <c r="I18" s="167"/>
      <c r="K18" s="182"/>
      <c r="L18" s="179"/>
      <c r="M18" s="179"/>
      <c r="N18" s="179"/>
      <c r="O18" s="179"/>
      <c r="P18" s="179"/>
      <c r="Q18" s="179"/>
    </row>
    <row r="19" spans="1:17" ht="15" customHeight="1" x14ac:dyDescent="0.2">
      <c r="A19" s="20"/>
      <c r="B19" s="187">
        <v>2010</v>
      </c>
      <c r="C19" s="167">
        <v>36970.044000000002</v>
      </c>
      <c r="D19" s="167">
        <v>304.92099999999999</v>
      </c>
      <c r="E19" s="167">
        <v>7848.4179999999997</v>
      </c>
      <c r="F19" s="167">
        <v>2015.548</v>
      </c>
      <c r="G19" s="167">
        <v>8908.4349999999995</v>
      </c>
      <c r="H19" s="167">
        <v>4737.5330000000004</v>
      </c>
      <c r="I19" s="167">
        <v>13155.189</v>
      </c>
      <c r="K19" s="182"/>
      <c r="L19" s="179"/>
      <c r="M19" s="179"/>
      <c r="N19" s="179"/>
      <c r="O19" s="179"/>
      <c r="P19" s="179"/>
      <c r="Q19" s="179"/>
    </row>
    <row r="20" spans="1:17" ht="15" customHeight="1" x14ac:dyDescent="0.2">
      <c r="A20" s="20"/>
      <c r="B20" s="187">
        <v>2011</v>
      </c>
      <c r="C20" s="167">
        <v>38152.908000000003</v>
      </c>
      <c r="D20" s="167">
        <v>335.02100000000002</v>
      </c>
      <c r="E20" s="167">
        <v>8065.6570000000002</v>
      </c>
      <c r="F20" s="167">
        <v>2141.4670000000001</v>
      </c>
      <c r="G20" s="167">
        <v>9142.7870000000003</v>
      </c>
      <c r="H20" s="167">
        <v>4995.1790000000001</v>
      </c>
      <c r="I20" s="167">
        <v>13472.797</v>
      </c>
      <c r="K20" s="182"/>
      <c r="L20" s="179"/>
      <c r="M20" s="179"/>
      <c r="N20" s="179"/>
      <c r="O20" s="179"/>
      <c r="P20" s="179"/>
      <c r="Q20" s="179"/>
    </row>
    <row r="21" spans="1:17" ht="15" customHeight="1" x14ac:dyDescent="0.2">
      <c r="A21" s="20"/>
      <c r="B21" s="187">
        <v>2012</v>
      </c>
      <c r="C21" s="167">
        <v>39329.116999999998</v>
      </c>
      <c r="D21" s="167">
        <v>349.90100000000001</v>
      </c>
      <c r="E21" s="167">
        <v>8133.5150000000003</v>
      </c>
      <c r="F21" s="167">
        <v>2296.5070000000001</v>
      </c>
      <c r="G21" s="167">
        <v>9556.0759999999991</v>
      </c>
      <c r="H21" s="167">
        <v>5183.5240000000003</v>
      </c>
      <c r="I21" s="167">
        <v>13809.593999999999</v>
      </c>
      <c r="K21" s="182"/>
      <c r="L21" s="179"/>
      <c r="M21" s="179"/>
      <c r="N21" s="179"/>
      <c r="O21" s="179"/>
      <c r="P21" s="179"/>
      <c r="Q21" s="179"/>
    </row>
    <row r="22" spans="1:17" ht="15" customHeight="1" x14ac:dyDescent="0.2">
      <c r="A22" s="20"/>
      <c r="B22" s="187">
        <v>2013</v>
      </c>
      <c r="C22" s="167">
        <v>40424.139000000003</v>
      </c>
      <c r="D22" s="167">
        <v>369.32799999999997</v>
      </c>
      <c r="E22" s="167">
        <v>8620.0779999999995</v>
      </c>
      <c r="F22" s="167">
        <v>2271.7979999999998</v>
      </c>
      <c r="G22" s="167">
        <v>9829.3989999999994</v>
      </c>
      <c r="H22" s="167">
        <v>5336.7269999999999</v>
      </c>
      <c r="I22" s="167">
        <v>13996.808999999999</v>
      </c>
      <c r="K22" s="182"/>
      <c r="L22" s="179"/>
      <c r="M22" s="179"/>
      <c r="N22" s="179"/>
      <c r="O22" s="179"/>
      <c r="P22" s="179"/>
      <c r="Q22" s="179"/>
    </row>
    <row r="23" spans="1:17" ht="15" customHeight="1" x14ac:dyDescent="0.2">
      <c r="A23" s="20"/>
      <c r="B23" s="187">
        <v>2014</v>
      </c>
      <c r="C23" s="167">
        <v>41640.146000000001</v>
      </c>
      <c r="D23" s="167">
        <v>386.59899999999999</v>
      </c>
      <c r="E23" s="167">
        <v>8610.7099999999991</v>
      </c>
      <c r="F23" s="167">
        <v>2417.3049999999998</v>
      </c>
      <c r="G23" s="167">
        <v>10162.741</v>
      </c>
      <c r="H23" s="167">
        <v>5461.37</v>
      </c>
      <c r="I23" s="167">
        <v>14601.421</v>
      </c>
      <c r="K23" s="182"/>
      <c r="L23" s="179"/>
      <c r="M23" s="179"/>
      <c r="N23" s="179"/>
      <c r="O23" s="179"/>
      <c r="P23" s="179"/>
      <c r="Q23" s="179"/>
    </row>
    <row r="24" spans="1:17" ht="15" customHeight="1" x14ac:dyDescent="0.2">
      <c r="A24" s="20"/>
      <c r="B24" s="187"/>
      <c r="C24" s="167"/>
      <c r="D24" s="167"/>
      <c r="E24" s="167"/>
      <c r="F24" s="167"/>
      <c r="G24" s="167"/>
      <c r="H24" s="167"/>
      <c r="I24" s="167"/>
      <c r="K24" s="182"/>
      <c r="L24" s="179"/>
      <c r="M24" s="179"/>
      <c r="N24" s="179"/>
      <c r="O24" s="179"/>
      <c r="P24" s="179"/>
      <c r="Q24" s="179"/>
    </row>
    <row r="25" spans="1:17" ht="15" customHeight="1" x14ac:dyDescent="0.2">
      <c r="A25" s="20"/>
      <c r="B25" s="187">
        <v>2015</v>
      </c>
      <c r="C25" s="167">
        <v>43211.682999999997</v>
      </c>
      <c r="D25" s="167">
        <v>399.43900000000002</v>
      </c>
      <c r="E25" s="167">
        <v>8935.857</v>
      </c>
      <c r="F25" s="167">
        <v>2514.2069999999999</v>
      </c>
      <c r="G25" s="167">
        <v>10457.040999999999</v>
      </c>
      <c r="H25" s="167">
        <v>5729.3459999999995</v>
      </c>
      <c r="I25" s="167">
        <v>15175.793</v>
      </c>
      <c r="K25" s="182"/>
      <c r="L25" s="179"/>
      <c r="M25" s="179"/>
      <c r="N25" s="179"/>
      <c r="O25" s="179"/>
      <c r="P25" s="179"/>
      <c r="Q25" s="179"/>
    </row>
    <row r="26" spans="1:17" ht="15" customHeight="1" x14ac:dyDescent="0.2">
      <c r="A26" s="20"/>
      <c r="B26" s="187">
        <v>2016</v>
      </c>
      <c r="C26" s="167">
        <v>45044.048000000003</v>
      </c>
      <c r="D26" s="167">
        <v>409.49</v>
      </c>
      <c r="E26" s="167">
        <v>9149.7009999999991</v>
      </c>
      <c r="F26" s="167">
        <v>2607.192</v>
      </c>
      <c r="G26" s="167">
        <v>10989.261</v>
      </c>
      <c r="H26" s="167">
        <v>6047.02</v>
      </c>
      <c r="I26" s="167">
        <v>15841.384</v>
      </c>
      <c r="K26" s="182"/>
      <c r="L26" s="179"/>
      <c r="M26" s="179"/>
      <c r="N26" s="179"/>
      <c r="O26" s="179"/>
      <c r="P26" s="179"/>
      <c r="Q26" s="179"/>
    </row>
    <row r="27" spans="1:17" ht="15" customHeight="1" x14ac:dyDescent="0.2">
      <c r="A27" s="20"/>
      <c r="B27" s="187">
        <v>2017</v>
      </c>
      <c r="C27" s="167">
        <v>47064.47</v>
      </c>
      <c r="D27" s="167">
        <v>427.6</v>
      </c>
      <c r="E27" s="167">
        <v>9492.3060000000005</v>
      </c>
      <c r="F27" s="167">
        <v>2700.308</v>
      </c>
      <c r="G27" s="167">
        <v>11351.263999999999</v>
      </c>
      <c r="H27" s="167">
        <v>6396.3739999999998</v>
      </c>
      <c r="I27" s="167">
        <v>16696.617999999999</v>
      </c>
      <c r="K27" s="182"/>
      <c r="L27" s="179"/>
      <c r="M27" s="179"/>
      <c r="N27" s="179"/>
      <c r="O27" s="179"/>
      <c r="P27" s="179"/>
      <c r="Q27" s="179"/>
    </row>
    <row r="28" spans="1:17" ht="15" customHeight="1" x14ac:dyDescent="0.2">
      <c r="A28" s="20"/>
      <c r="B28" s="187">
        <v>2018</v>
      </c>
      <c r="C28" s="167">
        <v>49536.057999999997</v>
      </c>
      <c r="D28" s="167">
        <v>438.97300000000001</v>
      </c>
      <c r="E28" s="167">
        <v>10089.218000000001</v>
      </c>
      <c r="F28" s="167">
        <v>2811.864</v>
      </c>
      <c r="G28" s="167">
        <v>11954.896000000001</v>
      </c>
      <c r="H28" s="167">
        <v>6821.4570000000003</v>
      </c>
      <c r="I28" s="167">
        <v>17419.650000000001</v>
      </c>
      <c r="K28" s="182"/>
      <c r="L28" s="179"/>
      <c r="M28" s="179"/>
      <c r="N28" s="179"/>
      <c r="O28" s="179"/>
      <c r="P28" s="179"/>
      <c r="Q28" s="179"/>
    </row>
    <row r="29" spans="1:17" ht="15" customHeight="1" x14ac:dyDescent="0.2">
      <c r="A29" s="20"/>
      <c r="B29" s="187">
        <v>2019</v>
      </c>
      <c r="C29" s="167">
        <v>51779.898000000001</v>
      </c>
      <c r="D29" s="167">
        <v>453.55799999999999</v>
      </c>
      <c r="E29" s="167">
        <v>10485.109</v>
      </c>
      <c r="F29" s="167">
        <v>2958.9569999999999</v>
      </c>
      <c r="G29" s="167">
        <v>12463.684999999999</v>
      </c>
      <c r="H29" s="167">
        <v>7007.384</v>
      </c>
      <c r="I29" s="167">
        <v>18411.205000000002</v>
      </c>
      <c r="K29" s="182"/>
      <c r="L29" s="179"/>
      <c r="M29" s="179"/>
      <c r="N29" s="179"/>
      <c r="O29" s="179"/>
      <c r="P29" s="179"/>
      <c r="Q29" s="179"/>
    </row>
    <row r="30" spans="1:17" ht="15" customHeight="1" x14ac:dyDescent="0.2">
      <c r="A30" s="20"/>
      <c r="B30" s="187"/>
      <c r="C30" s="167"/>
      <c r="D30" s="167"/>
      <c r="E30" s="167"/>
      <c r="F30" s="167"/>
      <c r="G30" s="167"/>
      <c r="H30" s="167"/>
      <c r="I30" s="167"/>
      <c r="J30" s="104"/>
      <c r="K30" s="182"/>
      <c r="L30" s="179"/>
      <c r="M30" s="179"/>
      <c r="N30" s="179"/>
      <c r="O30" s="179"/>
      <c r="P30" s="179"/>
      <c r="Q30" s="179"/>
    </row>
    <row r="31" spans="1:17" ht="15" customHeight="1" x14ac:dyDescent="0.2">
      <c r="A31" s="20"/>
      <c r="B31" s="187">
        <v>2020</v>
      </c>
      <c r="C31" s="167">
        <v>52239.904000000002</v>
      </c>
      <c r="D31" s="167">
        <v>462.21699999999998</v>
      </c>
      <c r="E31" s="167">
        <v>10389.459999999999</v>
      </c>
      <c r="F31" s="167">
        <v>3090.4969999999998</v>
      </c>
      <c r="G31" s="167">
        <v>12205.162</v>
      </c>
      <c r="H31" s="167">
        <v>7063.3810000000003</v>
      </c>
      <c r="I31" s="167">
        <v>19029.187000000002</v>
      </c>
      <c r="J31" s="104"/>
      <c r="K31" s="182"/>
      <c r="L31" s="179"/>
      <c r="M31" s="179"/>
      <c r="N31" s="179"/>
      <c r="O31" s="179"/>
      <c r="P31" s="179"/>
      <c r="Q31" s="179"/>
    </row>
    <row r="32" spans="1:17" ht="15" customHeight="1" x14ac:dyDescent="0.2">
      <c r="A32" s="20"/>
      <c r="B32" s="187">
        <v>2021</v>
      </c>
      <c r="C32" s="167">
        <v>54217.527999999998</v>
      </c>
      <c r="D32" s="167">
        <v>471.85899999999998</v>
      </c>
      <c r="E32" s="167">
        <v>10689.741</v>
      </c>
      <c r="F32" s="167">
        <v>3203.5169999999998</v>
      </c>
      <c r="G32" s="167">
        <v>12663.81</v>
      </c>
      <c r="H32" s="167">
        <v>7412.7950000000001</v>
      </c>
      <c r="I32" s="167">
        <v>19775.806</v>
      </c>
      <c r="J32" s="104"/>
      <c r="K32" s="182"/>
      <c r="L32" s="179"/>
      <c r="M32" s="179"/>
      <c r="N32" s="179"/>
      <c r="O32" s="179"/>
      <c r="P32" s="179"/>
      <c r="Q32" s="179"/>
    </row>
    <row r="33" spans="1:17" ht="15" customHeight="1" x14ac:dyDescent="0.2">
      <c r="A33" s="20"/>
      <c r="B33" s="187">
        <v>2022</v>
      </c>
      <c r="C33" s="167">
        <v>57691.222000000002</v>
      </c>
      <c r="D33" s="167">
        <v>497.327</v>
      </c>
      <c r="E33" s="167">
        <v>11023.28</v>
      </c>
      <c r="F33" s="167">
        <v>3428.529</v>
      </c>
      <c r="G33" s="167">
        <v>13579.04</v>
      </c>
      <c r="H33" s="167">
        <v>8269.8410000000003</v>
      </c>
      <c r="I33" s="167">
        <v>20893.205000000002</v>
      </c>
      <c r="J33" s="104"/>
      <c r="K33" s="182"/>
      <c r="L33" s="179"/>
      <c r="M33" s="179"/>
      <c r="N33" s="179"/>
      <c r="O33" s="179"/>
      <c r="P33" s="179"/>
      <c r="Q33" s="179"/>
    </row>
    <row r="34" spans="1:17" ht="15" customHeight="1" x14ac:dyDescent="0.2">
      <c r="A34" s="20"/>
      <c r="B34" s="187">
        <v>2023</v>
      </c>
      <c r="C34" s="167">
        <v>61572.877999999997</v>
      </c>
      <c r="D34" s="167">
        <v>538.74699999999996</v>
      </c>
      <c r="E34" s="167">
        <v>11712.162</v>
      </c>
      <c r="F34" s="167">
        <v>3642.17</v>
      </c>
      <c r="G34" s="167">
        <v>14517.828</v>
      </c>
      <c r="H34" s="167">
        <v>8892.0259999999998</v>
      </c>
      <c r="I34" s="167">
        <v>22269.945</v>
      </c>
      <c r="J34" s="104"/>
      <c r="K34" s="182"/>
      <c r="L34" s="179"/>
      <c r="M34" s="179"/>
      <c r="N34" s="179"/>
      <c r="O34" s="179"/>
      <c r="P34" s="179"/>
      <c r="Q34" s="179"/>
    </row>
    <row r="35" spans="1:17" ht="15" customHeight="1" x14ac:dyDescent="0.2">
      <c r="A35" s="20"/>
      <c r="B35" s="187">
        <v>2024</v>
      </c>
      <c r="C35" s="167">
        <v>65579.021999999997</v>
      </c>
      <c r="D35" s="167">
        <v>578.48400000000004</v>
      </c>
      <c r="E35" s="167">
        <v>12310.689</v>
      </c>
      <c r="F35" s="167">
        <v>3776.5650000000001</v>
      </c>
      <c r="G35" s="167">
        <v>15405.147000000001</v>
      </c>
      <c r="H35" s="167">
        <v>9477.4110000000001</v>
      </c>
      <c r="I35" s="167">
        <v>24030.725999999999</v>
      </c>
      <c r="J35" s="104"/>
      <c r="K35" s="182"/>
      <c r="L35" s="179"/>
      <c r="M35" s="179"/>
      <c r="N35" s="179"/>
      <c r="O35" s="179"/>
      <c r="P35" s="179"/>
      <c r="Q35" s="179"/>
    </row>
    <row r="36" spans="1:17" s="101" customFormat="1" ht="15" customHeight="1" x14ac:dyDescent="0.2">
      <c r="A36" s="20"/>
      <c r="B36" s="187"/>
      <c r="C36" s="389" t="s">
        <v>8</v>
      </c>
      <c r="D36" s="389"/>
      <c r="E36" s="389"/>
      <c r="F36" s="389"/>
      <c r="G36" s="389"/>
      <c r="H36" s="389"/>
      <c r="I36" s="389"/>
      <c r="J36" s="103"/>
      <c r="K36" s="9"/>
      <c r="L36" s="100"/>
      <c r="M36" s="100"/>
      <c r="N36" s="100"/>
      <c r="O36" s="100"/>
      <c r="P36" s="100"/>
      <c r="Q36" s="100"/>
    </row>
    <row r="37" spans="1:17" ht="15" customHeight="1" x14ac:dyDescent="0.2">
      <c r="A37" s="20"/>
      <c r="B37" s="187">
        <v>2001</v>
      </c>
      <c r="C37" s="357">
        <v>1.474525553784801</v>
      </c>
      <c r="D37" s="357">
        <v>-4.8378927820257616</v>
      </c>
      <c r="E37" s="357">
        <v>0.87568208699569539</v>
      </c>
      <c r="F37" s="357">
        <v>-3.9064830363926006</v>
      </c>
      <c r="G37" s="357">
        <v>2.5841371003317875</v>
      </c>
      <c r="H37" s="357">
        <v>2.6710740986920598</v>
      </c>
      <c r="I37" s="357">
        <v>2.0054302578207626</v>
      </c>
      <c r="K37" s="180"/>
      <c r="L37" s="180"/>
      <c r="M37" s="180"/>
      <c r="N37" s="180"/>
      <c r="O37" s="180"/>
      <c r="P37" s="180"/>
      <c r="Q37" s="180"/>
    </row>
    <row r="38" spans="1:17" ht="15" customHeight="1" x14ac:dyDescent="0.2">
      <c r="A38" s="20"/>
      <c r="B38" s="187">
        <v>2002</v>
      </c>
      <c r="C38" s="357">
        <v>0.5819297418449878</v>
      </c>
      <c r="D38" s="357">
        <v>-1.5190547118416191</v>
      </c>
      <c r="E38" s="357">
        <v>-0.63029338983469074</v>
      </c>
      <c r="F38" s="357">
        <v>-5.403669559565401</v>
      </c>
      <c r="G38" s="357">
        <v>0.19639969275357316</v>
      </c>
      <c r="H38" s="357">
        <v>2.2691127424346575</v>
      </c>
      <c r="I38" s="357">
        <v>2.3918203252222554</v>
      </c>
      <c r="K38" s="180"/>
      <c r="L38" s="180"/>
      <c r="M38" s="180"/>
      <c r="N38" s="180"/>
      <c r="O38" s="180"/>
      <c r="P38" s="180"/>
      <c r="Q38" s="180"/>
    </row>
    <row r="39" spans="1:17" ht="15" customHeight="1" x14ac:dyDescent="0.2">
      <c r="A39" s="20"/>
      <c r="B39" s="187">
        <v>2003</v>
      </c>
      <c r="C39" s="357">
        <v>-4.3265680872224266E-2</v>
      </c>
      <c r="D39" s="357">
        <v>-1.4051258570929832</v>
      </c>
      <c r="E39" s="357">
        <v>0.41805291599874295</v>
      </c>
      <c r="F39" s="357">
        <v>-4.7817112834625988</v>
      </c>
      <c r="G39" s="357">
        <v>-1.4007274527726992</v>
      </c>
      <c r="H39" s="357">
        <v>1.7312818312847185</v>
      </c>
      <c r="I39" s="357">
        <v>0.97799538167184608</v>
      </c>
      <c r="K39" s="180"/>
      <c r="L39" s="180"/>
      <c r="M39" s="180"/>
      <c r="N39" s="180"/>
      <c r="O39" s="180"/>
      <c r="P39" s="180"/>
      <c r="Q39" s="180"/>
    </row>
    <row r="40" spans="1:17" ht="15" customHeight="1" x14ac:dyDescent="0.2">
      <c r="A40" s="20"/>
      <c r="B40" s="187">
        <v>2004</v>
      </c>
      <c r="C40" s="357">
        <v>-0.59900330388997247</v>
      </c>
      <c r="D40" s="357">
        <v>1.6504954150790354</v>
      </c>
      <c r="E40" s="357">
        <v>-0.99179829730671543</v>
      </c>
      <c r="F40" s="357">
        <v>-6.2116493236286487</v>
      </c>
      <c r="G40" s="357">
        <v>-2.5957385065990479</v>
      </c>
      <c r="H40" s="357">
        <v>3.9222694342485056</v>
      </c>
      <c r="I40" s="357">
        <v>0.51326240325600736</v>
      </c>
      <c r="K40" s="180"/>
      <c r="L40" s="180"/>
      <c r="M40" s="180"/>
      <c r="N40" s="180"/>
      <c r="O40" s="180"/>
      <c r="P40" s="180"/>
      <c r="Q40" s="180"/>
    </row>
    <row r="41" spans="1:17" ht="15" customHeight="1" x14ac:dyDescent="0.2">
      <c r="A41" s="20"/>
      <c r="B41" s="187">
        <v>2005</v>
      </c>
      <c r="C41" s="357">
        <v>-0.64186118792757441</v>
      </c>
      <c r="D41" s="357">
        <v>-3.2739800408170936</v>
      </c>
      <c r="E41" s="357">
        <v>-2.3002955786602399</v>
      </c>
      <c r="F41" s="357">
        <v>-5.6057159503965295</v>
      </c>
      <c r="G41" s="357">
        <v>-0.50250365742803638</v>
      </c>
      <c r="H41" s="357">
        <v>-1.1385300183218732</v>
      </c>
      <c r="I41" s="357">
        <v>1.3654015583056918</v>
      </c>
      <c r="K41" s="180"/>
      <c r="L41" s="180"/>
      <c r="M41" s="180"/>
      <c r="N41" s="180"/>
      <c r="O41" s="180"/>
      <c r="P41" s="180"/>
      <c r="Q41" s="180"/>
    </row>
    <row r="42" spans="1:17" ht="15" customHeight="1" x14ac:dyDescent="0.2">
      <c r="A42" s="20"/>
      <c r="B42" s="187"/>
      <c r="C42" s="357"/>
      <c r="D42" s="357"/>
      <c r="E42" s="357"/>
      <c r="F42" s="357"/>
      <c r="G42" s="357"/>
      <c r="H42" s="357"/>
      <c r="I42" s="357"/>
    </row>
    <row r="43" spans="1:17" ht="15" customHeight="1" x14ac:dyDescent="0.2">
      <c r="A43" s="20"/>
      <c r="B43" s="187">
        <v>2006</v>
      </c>
      <c r="C43" s="357">
        <v>0.76891825996244734</v>
      </c>
      <c r="D43" s="357">
        <v>0.78861178000944676</v>
      </c>
      <c r="E43" s="357">
        <v>1.9849389792924654</v>
      </c>
      <c r="F43" s="357">
        <v>1.1488289117551886</v>
      </c>
      <c r="G43" s="357">
        <v>1.115791988363668</v>
      </c>
      <c r="H43" s="357">
        <v>3.0788617479227156</v>
      </c>
      <c r="I43" s="357">
        <v>-1.0304286426316764</v>
      </c>
      <c r="K43" s="180"/>
      <c r="L43" s="180"/>
      <c r="M43" s="180"/>
      <c r="N43" s="180"/>
      <c r="O43" s="180"/>
      <c r="P43" s="180"/>
      <c r="Q43" s="180"/>
    </row>
    <row r="44" spans="1:17" ht="15" customHeight="1" x14ac:dyDescent="0.2">
      <c r="A44" s="20"/>
      <c r="B44" s="187">
        <v>2007</v>
      </c>
      <c r="C44" s="357">
        <v>2.7054894476525817</v>
      </c>
      <c r="D44" s="357">
        <v>5.1813212772577089</v>
      </c>
      <c r="E44" s="357">
        <v>3.7296068405041183</v>
      </c>
      <c r="F44" s="357">
        <v>2.5605697455058163</v>
      </c>
      <c r="G44" s="357">
        <v>3.7673113474242541</v>
      </c>
      <c r="H44" s="357">
        <v>3.5143333238641361</v>
      </c>
      <c r="I44" s="357">
        <v>1.0270307337855797</v>
      </c>
      <c r="K44" s="180"/>
      <c r="L44" s="180"/>
      <c r="M44" s="180"/>
      <c r="N44" s="180"/>
      <c r="O44" s="180"/>
      <c r="P44" s="180"/>
      <c r="Q44" s="180"/>
    </row>
    <row r="45" spans="1:17" ht="15" customHeight="1" x14ac:dyDescent="0.2">
      <c r="A45" s="20"/>
      <c r="B45" s="187">
        <v>2008</v>
      </c>
      <c r="C45" s="357">
        <v>2.9278102768220009</v>
      </c>
      <c r="D45" s="357">
        <v>4.3695312385877401</v>
      </c>
      <c r="E45" s="357">
        <v>2.4927838301184551</v>
      </c>
      <c r="F45" s="357">
        <v>1.7975238308476236</v>
      </c>
      <c r="G45" s="357">
        <v>3.8951366613924989</v>
      </c>
      <c r="H45" s="357">
        <v>4.0774872219359253</v>
      </c>
      <c r="I45" s="357">
        <v>2.2728713442824784</v>
      </c>
      <c r="K45" s="180"/>
      <c r="L45" s="180"/>
      <c r="M45" s="180"/>
      <c r="N45" s="180"/>
      <c r="O45" s="180"/>
      <c r="P45" s="180"/>
      <c r="Q45" s="180"/>
    </row>
    <row r="46" spans="1:17" ht="15" customHeight="1" x14ac:dyDescent="0.2">
      <c r="A46" s="20"/>
      <c r="B46" s="187">
        <v>2009</v>
      </c>
      <c r="C46" s="357">
        <v>1.4709474062699428</v>
      </c>
      <c r="D46" s="357">
        <v>4.3797433806986135</v>
      </c>
      <c r="E46" s="357">
        <v>-1.8667685300416963</v>
      </c>
      <c r="F46" s="357">
        <v>1.7083020639331465</v>
      </c>
      <c r="G46" s="357">
        <v>1.4393869974148146</v>
      </c>
      <c r="H46" s="357">
        <v>1.2598713738103839</v>
      </c>
      <c r="I46" s="357">
        <v>3.6240381410487288</v>
      </c>
      <c r="K46" s="180"/>
      <c r="L46" s="180"/>
      <c r="M46" s="180"/>
      <c r="N46" s="180"/>
      <c r="O46" s="180"/>
      <c r="P46" s="180"/>
      <c r="Q46" s="180"/>
    </row>
    <row r="47" spans="1:17" ht="15" customHeight="1" x14ac:dyDescent="0.2">
      <c r="A47" s="20"/>
      <c r="B47" s="187">
        <v>2010</v>
      </c>
      <c r="C47" s="357">
        <v>2.0122970890355418</v>
      </c>
      <c r="D47" s="357">
        <v>2.2161509838758349</v>
      </c>
      <c r="E47" s="357">
        <v>0.39530464604159476</v>
      </c>
      <c r="F47" s="357">
        <v>0.89509412729948679</v>
      </c>
      <c r="G47" s="357">
        <v>0.34082451170151273</v>
      </c>
      <c r="H47" s="357">
        <v>5.4401391288245975</v>
      </c>
      <c r="I47" s="357">
        <v>3.1294052791776039</v>
      </c>
      <c r="K47" s="180"/>
      <c r="L47" s="180"/>
      <c r="M47" s="180"/>
      <c r="N47" s="180"/>
      <c r="O47" s="180"/>
      <c r="P47" s="180"/>
      <c r="Q47" s="180"/>
    </row>
    <row r="48" spans="1:17" ht="15" customHeight="1" x14ac:dyDescent="0.2">
      <c r="A48" s="20"/>
      <c r="B48" s="187"/>
      <c r="C48" s="357"/>
      <c r="D48" s="357"/>
      <c r="E48" s="357"/>
      <c r="F48" s="357"/>
      <c r="G48" s="357"/>
      <c r="H48" s="357"/>
      <c r="I48" s="357"/>
    </row>
    <row r="49" spans="1:17" ht="15" customHeight="1" x14ac:dyDescent="0.2">
      <c r="A49" s="20"/>
      <c r="B49" s="187">
        <v>2011</v>
      </c>
      <c r="C49" s="357">
        <v>3.1995201304061283</v>
      </c>
      <c r="D49" s="357">
        <v>9.8714093158555869</v>
      </c>
      <c r="E49" s="357">
        <v>2.7679336141372772</v>
      </c>
      <c r="F49" s="357">
        <v>6.2473828457570875</v>
      </c>
      <c r="G49" s="357">
        <v>2.6306753094118278</v>
      </c>
      <c r="H49" s="357">
        <v>5.4384001124635972</v>
      </c>
      <c r="I49" s="357">
        <v>2.4143172705462348</v>
      </c>
      <c r="K49" s="180"/>
      <c r="L49" s="180"/>
      <c r="M49" s="180"/>
      <c r="N49" s="180"/>
      <c r="O49" s="180"/>
      <c r="P49" s="180"/>
      <c r="Q49" s="180"/>
    </row>
    <row r="50" spans="1:17" ht="15" customHeight="1" x14ac:dyDescent="0.2">
      <c r="A50" s="20"/>
      <c r="B50" s="187">
        <v>2012</v>
      </c>
      <c r="C50" s="357">
        <v>3.0828816508560664</v>
      </c>
      <c r="D50" s="357">
        <v>4.4415126215968428</v>
      </c>
      <c r="E50" s="357">
        <v>0.84132018011675314</v>
      </c>
      <c r="F50" s="357">
        <v>7.2398967623596349</v>
      </c>
      <c r="G50" s="357">
        <v>4.5203831173142106</v>
      </c>
      <c r="H50" s="357">
        <v>3.770535550377673</v>
      </c>
      <c r="I50" s="357">
        <v>2.4998298423111294</v>
      </c>
      <c r="K50" s="180"/>
      <c r="L50" s="180"/>
      <c r="M50" s="180"/>
      <c r="N50" s="180"/>
      <c r="O50" s="180"/>
      <c r="P50" s="180"/>
      <c r="Q50" s="180"/>
    </row>
    <row r="51" spans="1:17" ht="15" customHeight="1" x14ac:dyDescent="0.2">
      <c r="A51" s="20"/>
      <c r="B51" s="187">
        <v>2013</v>
      </c>
      <c r="C51" s="357">
        <v>2.7842526950198447</v>
      </c>
      <c r="D51" s="357">
        <v>5.5521418915635934</v>
      </c>
      <c r="E51" s="357">
        <v>5.9821983484385157</v>
      </c>
      <c r="F51" s="357">
        <v>-1.0759383707517571</v>
      </c>
      <c r="G51" s="357">
        <v>2.8602011955534863</v>
      </c>
      <c r="H51" s="357">
        <v>2.9555761678734171</v>
      </c>
      <c r="I51" s="357">
        <v>1.3556879369516537</v>
      </c>
      <c r="K51" s="180"/>
      <c r="L51" s="180"/>
      <c r="M51" s="180"/>
      <c r="N51" s="180"/>
      <c r="O51" s="180"/>
      <c r="P51" s="180"/>
      <c r="Q51" s="180"/>
    </row>
    <row r="52" spans="1:17" ht="15" customHeight="1" x14ac:dyDescent="0.2">
      <c r="A52" s="20"/>
      <c r="B52" s="187">
        <v>2014</v>
      </c>
      <c r="C52" s="357">
        <v>3.0081209645553599</v>
      </c>
      <c r="D52" s="357">
        <v>4.676331066152585</v>
      </c>
      <c r="E52" s="357">
        <v>-0.10867651081579766</v>
      </c>
      <c r="F52" s="357">
        <v>6.4049268464889906</v>
      </c>
      <c r="G52" s="357">
        <v>3.3912754991429352</v>
      </c>
      <c r="H52" s="357">
        <v>2.3355700975523064</v>
      </c>
      <c r="I52" s="357">
        <v>4.3196417126218023</v>
      </c>
      <c r="K52" s="180"/>
      <c r="L52" s="180"/>
      <c r="M52" s="180"/>
      <c r="N52" s="180"/>
      <c r="O52" s="180"/>
      <c r="P52" s="180"/>
      <c r="Q52" s="180"/>
    </row>
    <row r="53" spans="1:17" ht="15" customHeight="1" x14ac:dyDescent="0.2">
      <c r="A53" s="20"/>
      <c r="B53" s="187">
        <v>2015</v>
      </c>
      <c r="C53" s="357">
        <v>3.7740909938212042</v>
      </c>
      <c r="D53" s="357">
        <v>3.3212708775759978</v>
      </c>
      <c r="E53" s="357">
        <v>3.7760765372425737</v>
      </c>
      <c r="F53" s="357">
        <v>4.0086790868343058</v>
      </c>
      <c r="G53" s="357">
        <v>2.8958722848491334</v>
      </c>
      <c r="H53" s="357">
        <v>4.9067541660792102</v>
      </c>
      <c r="I53" s="357">
        <v>3.933671935080838</v>
      </c>
      <c r="K53" s="180"/>
      <c r="L53" s="180"/>
      <c r="M53" s="180"/>
      <c r="N53" s="180"/>
      <c r="O53" s="180"/>
      <c r="P53" s="180"/>
      <c r="Q53" s="180"/>
    </row>
    <row r="54" spans="1:17" ht="15" customHeight="1" x14ac:dyDescent="0.2">
      <c r="A54" s="20"/>
      <c r="B54" s="187"/>
      <c r="C54" s="357"/>
      <c r="D54" s="357"/>
      <c r="E54" s="357"/>
      <c r="F54" s="357"/>
      <c r="G54" s="357"/>
      <c r="H54" s="357"/>
      <c r="I54" s="357"/>
    </row>
    <row r="55" spans="1:17" ht="15" customHeight="1" x14ac:dyDescent="0.2">
      <c r="A55" s="20"/>
      <c r="B55" s="187">
        <v>2016</v>
      </c>
      <c r="C55" s="357">
        <v>4.2404388646468618</v>
      </c>
      <c r="D55" s="357">
        <v>2.5162790814116676</v>
      </c>
      <c r="E55" s="357">
        <v>2.3931000686335864</v>
      </c>
      <c r="F55" s="357">
        <v>3.6983828300533759</v>
      </c>
      <c r="G55" s="357">
        <v>5.0895850939094629</v>
      </c>
      <c r="H55" s="357">
        <v>5.5446817141083926</v>
      </c>
      <c r="I55" s="357">
        <v>4.385872949110464</v>
      </c>
      <c r="K55" s="180"/>
      <c r="L55" s="180"/>
      <c r="M55" s="180"/>
      <c r="N55" s="180"/>
      <c r="O55" s="180"/>
      <c r="P55" s="180"/>
      <c r="Q55" s="180"/>
    </row>
    <row r="56" spans="1:17" ht="15" customHeight="1" x14ac:dyDescent="0.2">
      <c r="B56" s="187">
        <v>2017</v>
      </c>
      <c r="C56" s="357">
        <v>4.4854361224373065</v>
      </c>
      <c r="D56" s="357">
        <v>4.4225744218418015</v>
      </c>
      <c r="E56" s="357">
        <v>3.7444392991640001</v>
      </c>
      <c r="F56" s="357">
        <v>3.5715052823113922</v>
      </c>
      <c r="G56" s="357">
        <v>3.2941523547397651</v>
      </c>
      <c r="H56" s="357">
        <v>5.77729195537637</v>
      </c>
      <c r="I56" s="357">
        <v>5.3987328379893995</v>
      </c>
      <c r="K56" s="180"/>
      <c r="L56" s="180"/>
      <c r="M56" s="180"/>
      <c r="N56" s="180"/>
      <c r="O56" s="180"/>
      <c r="P56" s="180"/>
      <c r="Q56" s="180"/>
    </row>
    <row r="57" spans="1:17" ht="15" customHeight="1" x14ac:dyDescent="0.2">
      <c r="B57" s="187">
        <v>2018</v>
      </c>
      <c r="C57" s="357">
        <v>5.2514943863173187</v>
      </c>
      <c r="D57" s="357">
        <v>2.6597287184284397</v>
      </c>
      <c r="E57" s="357">
        <v>6.2883771340704726</v>
      </c>
      <c r="F57" s="357">
        <v>4.1312324371886575</v>
      </c>
      <c r="G57" s="357">
        <v>5.3177513975536215</v>
      </c>
      <c r="H57" s="357">
        <v>6.6456870720817847</v>
      </c>
      <c r="I57" s="357">
        <v>4.3304099069644195</v>
      </c>
      <c r="K57" s="180"/>
      <c r="L57" s="180"/>
      <c r="M57" s="180"/>
      <c r="N57" s="180"/>
      <c r="O57" s="180"/>
      <c r="P57" s="180"/>
      <c r="Q57" s="180"/>
    </row>
    <row r="58" spans="1:17" ht="15" customHeight="1" x14ac:dyDescent="0.2">
      <c r="B58" s="187">
        <v>2019</v>
      </c>
      <c r="C58" s="357">
        <v>4.5297104585915946</v>
      </c>
      <c r="D58" s="357">
        <v>3.3225278092274522</v>
      </c>
      <c r="E58" s="357">
        <v>3.9239017335139295</v>
      </c>
      <c r="F58" s="357">
        <v>5.2311562721383496</v>
      </c>
      <c r="G58" s="357">
        <v>4.2559048610711443</v>
      </c>
      <c r="H58" s="357">
        <v>2.7256200544839544</v>
      </c>
      <c r="I58" s="357">
        <v>5.692163734633013</v>
      </c>
      <c r="K58" s="180"/>
      <c r="L58" s="180"/>
      <c r="M58" s="180"/>
      <c r="N58" s="180"/>
      <c r="O58" s="180"/>
      <c r="P58" s="180"/>
      <c r="Q58" s="180"/>
    </row>
    <row r="59" spans="1:17" ht="15" customHeight="1" x14ac:dyDescent="0.2">
      <c r="B59" s="187">
        <v>2020</v>
      </c>
      <c r="C59" s="357">
        <v>0.88838722702776352</v>
      </c>
      <c r="D59" s="357">
        <v>1.909127388338419</v>
      </c>
      <c r="E59" s="357">
        <v>-0.91223658237602478</v>
      </c>
      <c r="F59" s="357">
        <v>4.4454853517641624</v>
      </c>
      <c r="G59" s="357">
        <v>-2.0742099948771227</v>
      </c>
      <c r="H59" s="357">
        <v>0.79911419154423413</v>
      </c>
      <c r="I59" s="357">
        <v>3.3565537942790797</v>
      </c>
      <c r="J59" s="104"/>
      <c r="K59" s="180"/>
      <c r="L59" s="180"/>
      <c r="M59" s="180"/>
      <c r="N59" s="180"/>
      <c r="O59" s="180"/>
      <c r="P59" s="180"/>
      <c r="Q59" s="180"/>
    </row>
    <row r="60" spans="1:17" ht="15" customHeight="1" x14ac:dyDescent="0.2">
      <c r="B60" s="187"/>
      <c r="C60" s="357"/>
      <c r="D60" s="357"/>
      <c r="E60" s="357"/>
      <c r="F60" s="357"/>
      <c r="G60" s="357"/>
      <c r="H60" s="357"/>
      <c r="I60" s="357"/>
      <c r="J60" s="104"/>
    </row>
    <row r="61" spans="1:17" ht="15" customHeight="1" x14ac:dyDescent="0.2">
      <c r="A61" s="20"/>
      <c r="B61" s="187">
        <v>2021</v>
      </c>
      <c r="C61" s="357">
        <v>3.7856577990648645</v>
      </c>
      <c r="D61" s="357">
        <v>2.0860331835479968</v>
      </c>
      <c r="E61" s="357">
        <v>2.8902464613175454</v>
      </c>
      <c r="F61" s="357">
        <v>3.6570169781753492</v>
      </c>
      <c r="G61" s="357">
        <v>3.7578198470450417</v>
      </c>
      <c r="H61" s="357">
        <v>4.9468377820763152</v>
      </c>
      <c r="I61" s="357">
        <v>3.923546497283354</v>
      </c>
      <c r="J61" s="104"/>
      <c r="K61" s="180"/>
      <c r="L61" s="180"/>
      <c r="M61" s="180"/>
      <c r="N61" s="180"/>
      <c r="O61" s="180"/>
      <c r="P61" s="180"/>
      <c r="Q61" s="180"/>
    </row>
    <row r="62" spans="1:17" ht="15" customHeight="1" x14ac:dyDescent="0.2">
      <c r="A62" s="20"/>
      <c r="B62" s="187">
        <v>2022</v>
      </c>
      <c r="C62" s="357">
        <v>6.4069575433243671</v>
      </c>
      <c r="D62" s="357">
        <v>5.3973750633134046</v>
      </c>
      <c r="E62" s="357">
        <v>3.120178496373299</v>
      </c>
      <c r="F62" s="357">
        <v>7.0239052890932214</v>
      </c>
      <c r="G62" s="357">
        <v>7.2271299079818903</v>
      </c>
      <c r="H62" s="357">
        <v>11.561711877908408</v>
      </c>
      <c r="I62" s="357">
        <v>5.6503335439273741</v>
      </c>
      <c r="J62" s="104"/>
      <c r="K62" s="180"/>
      <c r="L62" s="180"/>
      <c r="M62" s="180"/>
      <c r="N62" s="180"/>
      <c r="O62" s="180"/>
      <c r="P62" s="180"/>
      <c r="Q62" s="180"/>
    </row>
    <row r="63" spans="1:17" ht="15" customHeight="1" x14ac:dyDescent="0.2">
      <c r="A63" s="20"/>
      <c r="B63" s="187">
        <v>2023</v>
      </c>
      <c r="C63" s="357">
        <v>6.7283303515394408</v>
      </c>
      <c r="D63" s="357">
        <v>8.3285242908589225</v>
      </c>
      <c r="E63" s="357">
        <v>6.2493377651660751</v>
      </c>
      <c r="F63" s="357">
        <v>6.2312729453360305</v>
      </c>
      <c r="G63" s="357">
        <v>6.9135078768454861</v>
      </c>
      <c r="H63" s="357">
        <v>7.5235424719773931</v>
      </c>
      <c r="I63" s="357">
        <v>6.5894150753797618</v>
      </c>
      <c r="J63" s="104"/>
      <c r="K63" s="180"/>
      <c r="L63" s="180"/>
      <c r="M63" s="180"/>
      <c r="N63" s="180"/>
      <c r="O63" s="180"/>
      <c r="P63" s="180"/>
      <c r="Q63" s="180"/>
    </row>
    <row r="64" spans="1:17" ht="15" customHeight="1" x14ac:dyDescent="0.2">
      <c r="A64" s="20"/>
      <c r="B64" s="187">
        <v>2024</v>
      </c>
      <c r="C64" s="357">
        <v>6.5063452125788217</v>
      </c>
      <c r="D64" s="357">
        <v>7.3758183340232222</v>
      </c>
      <c r="E64" s="357">
        <v>5.1103032898622871</v>
      </c>
      <c r="F64" s="357">
        <v>3.6899705395409796</v>
      </c>
      <c r="G64" s="357">
        <v>6.1119266601037197</v>
      </c>
      <c r="H64" s="357">
        <v>6.5832578537219746</v>
      </c>
      <c r="I64" s="357">
        <v>7.9065350183846448</v>
      </c>
      <c r="J64" s="104"/>
      <c r="K64" s="180"/>
      <c r="L64" s="180"/>
      <c r="M64" s="180"/>
      <c r="N64" s="180"/>
      <c r="O64" s="180"/>
      <c r="P64" s="180"/>
      <c r="Q64" s="180"/>
    </row>
    <row r="65" spans="1:17" s="101" customFormat="1" ht="15" customHeight="1" x14ac:dyDescent="0.2">
      <c r="A65" s="20"/>
      <c r="B65" s="187"/>
      <c r="C65" s="389" t="s">
        <v>19</v>
      </c>
      <c r="D65" s="389"/>
      <c r="E65" s="389"/>
      <c r="F65" s="389"/>
      <c r="G65" s="389"/>
      <c r="H65" s="389"/>
      <c r="I65" s="389"/>
      <c r="J65" s="103"/>
      <c r="K65" s="9"/>
      <c r="L65" s="100"/>
      <c r="M65" s="100"/>
      <c r="N65" s="100"/>
      <c r="O65" s="100"/>
      <c r="P65" s="100"/>
      <c r="Q65" s="100"/>
    </row>
    <row r="66" spans="1:17" ht="15" customHeight="1" x14ac:dyDescent="0.2">
      <c r="B66" s="187">
        <v>2000</v>
      </c>
      <c r="C66" s="150">
        <v>100</v>
      </c>
      <c r="D66" s="118">
        <v>0.85444646163453697</v>
      </c>
      <c r="E66" s="118">
        <v>22.676934802018685</v>
      </c>
      <c r="F66" s="118">
        <v>7.294329004472111</v>
      </c>
      <c r="G66" s="118">
        <v>24.56556266831274</v>
      </c>
      <c r="H66" s="118">
        <v>10.941571643189159</v>
      </c>
      <c r="I66" s="118">
        <v>33.667155420372765</v>
      </c>
      <c r="K66" s="9"/>
      <c r="L66" s="180"/>
      <c r="M66" s="180"/>
      <c r="N66" s="180"/>
      <c r="O66" s="180"/>
      <c r="P66" s="180"/>
      <c r="Q66" s="180"/>
    </row>
    <row r="67" spans="1:17" ht="15" customHeight="1" x14ac:dyDescent="0.2">
      <c r="B67" s="187">
        <v>2001</v>
      </c>
      <c r="C67" s="150">
        <v>100</v>
      </c>
      <c r="D67" s="118">
        <v>0.80129397354005949</v>
      </c>
      <c r="E67" s="118">
        <v>22.543108758695197</v>
      </c>
      <c r="F67" s="118">
        <v>6.90752407172236</v>
      </c>
      <c r="G67" s="118">
        <v>24.834184096552242</v>
      </c>
      <c r="H67" s="118">
        <v>11.070590444284388</v>
      </c>
      <c r="I67" s="118">
        <v>33.843298655205743</v>
      </c>
      <c r="K67" s="9"/>
      <c r="L67" s="180"/>
      <c r="M67" s="180"/>
      <c r="N67" s="180"/>
      <c r="O67" s="180"/>
      <c r="P67" s="180"/>
      <c r="Q67" s="180"/>
    </row>
    <row r="68" spans="1:17" ht="15" customHeight="1" x14ac:dyDescent="0.2">
      <c r="B68" s="187">
        <v>2002</v>
      </c>
      <c r="C68" s="150">
        <v>100</v>
      </c>
      <c r="D68" s="118">
        <v>0.78455631315154495</v>
      </c>
      <c r="E68" s="118">
        <v>22.271417034670819</v>
      </c>
      <c r="F68" s="118">
        <v>6.4964594663375248</v>
      </c>
      <c r="G68" s="118">
        <v>24.738994789303291</v>
      </c>
      <c r="H68" s="118">
        <v>11.256290918037742</v>
      </c>
      <c r="I68" s="118">
        <v>34.452281478499089</v>
      </c>
      <c r="K68" s="9"/>
      <c r="L68" s="180"/>
      <c r="M68" s="180"/>
      <c r="N68" s="180"/>
      <c r="O68" s="180"/>
      <c r="P68" s="180"/>
      <c r="Q68" s="180"/>
    </row>
    <row r="69" spans="1:17" ht="15" customHeight="1" x14ac:dyDescent="0.2">
      <c r="B69" s="187">
        <v>2003</v>
      </c>
      <c r="C69" s="150">
        <v>100</v>
      </c>
      <c r="D69" s="118">
        <v>0.77386712841415195</v>
      </c>
      <c r="E69" s="118">
        <v>22.374203694586701</v>
      </c>
      <c r="F69" s="118">
        <v>6.1884950255186233</v>
      </c>
      <c r="G69" s="118">
        <v>24.403027033549009</v>
      </c>
      <c r="H69" s="118">
        <v>11.456125608324298</v>
      </c>
      <c r="I69" s="118">
        <v>34.804281509607215</v>
      </c>
      <c r="K69" s="9"/>
      <c r="L69" s="180"/>
      <c r="M69" s="180"/>
      <c r="N69" s="180"/>
      <c r="O69" s="180"/>
      <c r="P69" s="180"/>
      <c r="Q69" s="180"/>
    </row>
    <row r="70" spans="1:17" ht="15" customHeight="1" x14ac:dyDescent="0.2">
      <c r="B70" s="187">
        <v>2004</v>
      </c>
      <c r="C70" s="150">
        <v>100</v>
      </c>
      <c r="D70" s="118">
        <v>0.79138016321139759</v>
      </c>
      <c r="E70" s="118">
        <v>22.285789337738869</v>
      </c>
      <c r="F70" s="118">
        <v>5.8390636000034615</v>
      </c>
      <c r="G70" s="118">
        <v>23.91282688717105</v>
      </c>
      <c r="H70" s="118">
        <v>11.977209602642374</v>
      </c>
      <c r="I70" s="118">
        <v>35.193730409232849</v>
      </c>
      <c r="K70" s="108"/>
      <c r="L70" s="180"/>
      <c r="M70" s="180"/>
      <c r="N70" s="180"/>
      <c r="O70" s="180"/>
      <c r="P70" s="180"/>
      <c r="Q70" s="180"/>
    </row>
    <row r="71" spans="1:17" ht="15" customHeight="1" x14ac:dyDescent="0.2">
      <c r="B71" s="187"/>
      <c r="C71" s="150"/>
      <c r="D71" s="118"/>
      <c r="E71" s="118"/>
      <c r="F71" s="118"/>
      <c r="G71" s="118"/>
      <c r="H71" s="118"/>
      <c r="I71" s="118"/>
      <c r="K71" s="108"/>
    </row>
    <row r="72" spans="1:17" ht="15" customHeight="1" x14ac:dyDescent="0.2">
      <c r="B72" s="187">
        <v>2005</v>
      </c>
      <c r="C72" s="150">
        <v>100</v>
      </c>
      <c r="D72" s="118">
        <v>0.77041553291240084</v>
      </c>
      <c r="E72" s="118">
        <v>21.913806529845946</v>
      </c>
      <c r="F72" s="118">
        <v>5.5473485577756918</v>
      </c>
      <c r="G72" s="118">
        <v>23.946366489886053</v>
      </c>
      <c r="H72" s="118">
        <v>11.917338244786292</v>
      </c>
      <c r="I72" s="118">
        <v>35.904724644793617</v>
      </c>
      <c r="K72" s="108"/>
      <c r="L72" s="180"/>
      <c r="M72" s="180"/>
      <c r="N72" s="180"/>
      <c r="O72" s="180"/>
      <c r="P72" s="180"/>
      <c r="Q72" s="180"/>
    </row>
    <row r="73" spans="1:17" ht="15" customHeight="1" x14ac:dyDescent="0.2">
      <c r="B73" s="187">
        <v>2006</v>
      </c>
      <c r="C73" s="150">
        <v>100</v>
      </c>
      <c r="D73" s="118">
        <v>0.77056609713402713</v>
      </c>
      <c r="E73" s="118">
        <v>22.178249606538866</v>
      </c>
      <c r="F73" s="118">
        <v>5.5682627130797036</v>
      </c>
      <c r="G73" s="118">
        <v>24.028796326083963</v>
      </c>
      <c r="H73" s="118">
        <v>12.190521467824833</v>
      </c>
      <c r="I73" s="118">
        <v>35.263603789338596</v>
      </c>
      <c r="K73" s="108"/>
      <c r="L73" s="180"/>
      <c r="M73" s="180"/>
      <c r="N73" s="180"/>
      <c r="O73" s="180"/>
      <c r="P73" s="180"/>
      <c r="Q73" s="180"/>
    </row>
    <row r="74" spans="1:17" ht="15" customHeight="1" x14ac:dyDescent="0.2">
      <c r="B74" s="187">
        <v>2007</v>
      </c>
      <c r="C74" s="150">
        <v>100</v>
      </c>
      <c r="D74" s="118">
        <v>0.78914146326449464</v>
      </c>
      <c r="E74" s="118">
        <v>22.399397777753567</v>
      </c>
      <c r="F74" s="118">
        <v>5.5604057720515829</v>
      </c>
      <c r="G74" s="118">
        <v>24.277218316976601</v>
      </c>
      <c r="H74" s="118">
        <v>12.286526352180125</v>
      </c>
      <c r="I74" s="118">
        <v>34.687310317773616</v>
      </c>
      <c r="K74" s="108"/>
      <c r="L74" s="180"/>
      <c r="M74" s="180"/>
      <c r="N74" s="180"/>
      <c r="O74" s="180"/>
      <c r="P74" s="180"/>
      <c r="Q74" s="180"/>
    </row>
    <row r="75" spans="1:17" ht="15" customHeight="1" x14ac:dyDescent="0.2">
      <c r="B75" s="187">
        <v>2008</v>
      </c>
      <c r="C75" s="150">
        <v>100</v>
      </c>
      <c r="D75" s="118">
        <v>0.8001950530215004</v>
      </c>
      <c r="E75" s="118">
        <v>22.304726275490495</v>
      </c>
      <c r="F75" s="118">
        <v>5.4993450027476927</v>
      </c>
      <c r="G75" s="118">
        <v>24.505378167641162</v>
      </c>
      <c r="H75" s="118">
        <v>12.42376366486215</v>
      </c>
      <c r="I75" s="118">
        <v>34.466591836236994</v>
      </c>
      <c r="K75" s="108"/>
      <c r="L75" s="180"/>
      <c r="M75" s="180"/>
      <c r="N75" s="180"/>
      <c r="O75" s="180"/>
      <c r="P75" s="180"/>
      <c r="Q75" s="180"/>
    </row>
    <row r="76" spans="1:17" ht="15" customHeight="1" x14ac:dyDescent="0.2">
      <c r="A76" s="20"/>
      <c r="B76" s="187">
        <v>2009</v>
      </c>
      <c r="C76" s="150">
        <v>100</v>
      </c>
      <c r="D76" s="118">
        <v>0.8231336793818852</v>
      </c>
      <c r="E76" s="118">
        <v>21.571049866156276</v>
      </c>
      <c r="F76" s="118">
        <v>5.5122087355092768</v>
      </c>
      <c r="G76" s="118">
        <v>24.497756283999692</v>
      </c>
      <c r="H76" s="118">
        <v>12.397920220904787</v>
      </c>
      <c r="I76" s="118">
        <v>35.19793121404809</v>
      </c>
      <c r="K76" s="108"/>
      <c r="L76" s="180"/>
      <c r="M76" s="180"/>
      <c r="N76" s="180"/>
      <c r="O76" s="180"/>
      <c r="P76" s="180"/>
      <c r="Q76" s="180"/>
    </row>
    <row r="77" spans="1:17" ht="15" customHeight="1" x14ac:dyDescent="0.2">
      <c r="A77" s="20"/>
      <c r="B77" s="187"/>
      <c r="C77" s="150"/>
      <c r="D77" s="118"/>
      <c r="E77" s="118"/>
      <c r="F77" s="118"/>
      <c r="G77" s="118"/>
      <c r="H77" s="118"/>
      <c r="I77" s="118"/>
      <c r="K77" s="108"/>
    </row>
    <row r="78" spans="1:17" ht="15" customHeight="1" x14ac:dyDescent="0.2">
      <c r="A78" s="20"/>
      <c r="B78" s="187">
        <v>2010</v>
      </c>
      <c r="C78" s="150">
        <v>100</v>
      </c>
      <c r="D78" s="118">
        <v>0.82477856937362581</v>
      </c>
      <c r="E78" s="118">
        <v>21.229128101659818</v>
      </c>
      <c r="F78" s="118">
        <v>5.4518409553421137</v>
      </c>
      <c r="G78" s="118">
        <v>24.096360285640991</v>
      </c>
      <c r="H78" s="118">
        <v>12.814518154211557</v>
      </c>
      <c r="I78" s="118">
        <v>35.583373933771895</v>
      </c>
      <c r="K78" s="108"/>
      <c r="L78" s="180"/>
      <c r="M78" s="180"/>
      <c r="N78" s="180"/>
      <c r="O78" s="180"/>
      <c r="P78" s="180"/>
      <c r="Q78" s="180"/>
    </row>
    <row r="79" spans="1:17" ht="15" customHeight="1" x14ac:dyDescent="0.2">
      <c r="A79" s="20"/>
      <c r="B79" s="187">
        <v>2011</v>
      </c>
      <c r="C79" s="150">
        <v>100</v>
      </c>
      <c r="D79" s="118">
        <v>0.87810082523722688</v>
      </c>
      <c r="E79" s="118">
        <v>21.140346628361854</v>
      </c>
      <c r="F79" s="118">
        <v>5.612853940255353</v>
      </c>
      <c r="G79" s="118">
        <v>23.96353903089117</v>
      </c>
      <c r="H79" s="118">
        <v>13.092524952488549</v>
      </c>
      <c r="I79" s="118">
        <v>35.312634622765842</v>
      </c>
      <c r="K79" s="108"/>
      <c r="L79" s="180"/>
      <c r="M79" s="180"/>
      <c r="N79" s="180"/>
      <c r="O79" s="180"/>
      <c r="P79" s="180"/>
      <c r="Q79" s="180"/>
    </row>
    <row r="80" spans="1:17" ht="15" customHeight="1" x14ac:dyDescent="0.2">
      <c r="A80" s="20"/>
      <c r="B80" s="187">
        <v>2012</v>
      </c>
      <c r="C80" s="150">
        <v>100</v>
      </c>
      <c r="D80" s="118">
        <v>0.88967418210787697</v>
      </c>
      <c r="E80" s="118">
        <v>20.68064482607123</v>
      </c>
      <c r="F80" s="118">
        <v>5.8392030515203279</v>
      </c>
      <c r="G80" s="118">
        <v>24.297713065869235</v>
      </c>
      <c r="H80" s="118">
        <v>13.17986366182592</v>
      </c>
      <c r="I80" s="118">
        <v>35.112901212605408</v>
      </c>
      <c r="K80" s="108"/>
      <c r="L80" s="180"/>
      <c r="M80" s="180"/>
      <c r="N80" s="180"/>
      <c r="O80" s="180"/>
      <c r="P80" s="180"/>
      <c r="Q80" s="180"/>
    </row>
    <row r="81" spans="1:17" ht="15" customHeight="1" x14ac:dyDescent="0.2">
      <c r="A81" s="20"/>
      <c r="B81" s="187">
        <v>2013</v>
      </c>
      <c r="C81" s="150">
        <v>100</v>
      </c>
      <c r="D81" s="118">
        <v>0.91363232250908288</v>
      </c>
      <c r="E81" s="118">
        <v>21.324085591532324</v>
      </c>
      <c r="F81" s="118">
        <v>5.6199044833088463</v>
      </c>
      <c r="G81" s="118">
        <v>24.315666933561648</v>
      </c>
      <c r="H81" s="118">
        <v>13.201832202288834</v>
      </c>
      <c r="I81" s="118">
        <v>34.624878466799252</v>
      </c>
      <c r="K81" s="108"/>
      <c r="L81" s="180"/>
      <c r="M81" s="180"/>
      <c r="N81" s="180"/>
      <c r="O81" s="180"/>
      <c r="P81" s="180"/>
      <c r="Q81" s="180"/>
    </row>
    <row r="82" spans="1:17" ht="15" customHeight="1" x14ac:dyDescent="0.2">
      <c r="A82" s="20"/>
      <c r="B82" s="187">
        <v>2014</v>
      </c>
      <c r="C82" s="150">
        <v>100</v>
      </c>
      <c r="D82" s="118">
        <v>0.92842854105266592</v>
      </c>
      <c r="E82" s="118">
        <v>20.678866015503402</v>
      </c>
      <c r="F82" s="118">
        <v>5.8052270037669889</v>
      </c>
      <c r="G82" s="118">
        <v>24.406112793168401</v>
      </c>
      <c r="H82" s="118">
        <v>13.115636049883205</v>
      </c>
      <c r="I82" s="118">
        <v>35.065729596625339</v>
      </c>
      <c r="K82" s="108"/>
      <c r="L82" s="180"/>
      <c r="M82" s="180"/>
      <c r="N82" s="180"/>
      <c r="O82" s="180"/>
      <c r="P82" s="180"/>
      <c r="Q82" s="180"/>
    </row>
    <row r="83" spans="1:17" ht="15" customHeight="1" x14ac:dyDescent="0.2">
      <c r="A83" s="20"/>
      <c r="B83" s="187"/>
      <c r="C83" s="150"/>
      <c r="D83" s="118"/>
      <c r="E83" s="118"/>
      <c r="F83" s="118"/>
      <c r="G83" s="118"/>
      <c r="H83" s="118"/>
      <c r="I83" s="118"/>
      <c r="K83" s="108"/>
    </row>
    <row r="84" spans="1:17" ht="15" customHeight="1" x14ac:dyDescent="0.2">
      <c r="A84" s="20"/>
      <c r="B84" s="187">
        <v>2015</v>
      </c>
      <c r="C84" s="150">
        <v>100</v>
      </c>
      <c r="D84" s="118">
        <v>0.92437732638184922</v>
      </c>
      <c r="E84" s="118">
        <v>20.679261670969861</v>
      </c>
      <c r="F84" s="118">
        <v>5.8183500975881914</v>
      </c>
      <c r="G84" s="118">
        <v>24.199568898994286</v>
      </c>
      <c r="H84" s="118">
        <v>13.258789295478262</v>
      </c>
      <c r="I84" s="118">
        <v>35.119652710587552</v>
      </c>
      <c r="K84" s="108"/>
      <c r="L84" s="180"/>
      <c r="M84" s="180"/>
      <c r="N84" s="180"/>
      <c r="O84" s="180"/>
      <c r="P84" s="180"/>
      <c r="Q84" s="180"/>
    </row>
    <row r="85" spans="1:17" ht="15" customHeight="1" x14ac:dyDescent="0.2">
      <c r="A85" s="20"/>
      <c r="B85" s="187">
        <v>2016</v>
      </c>
      <c r="C85" s="150">
        <v>100</v>
      </c>
      <c r="D85" s="118">
        <v>0.90908792211570322</v>
      </c>
      <c r="E85" s="118">
        <v>20.3127858313267</v>
      </c>
      <c r="F85" s="118">
        <v>5.788094355995713</v>
      </c>
      <c r="G85" s="118">
        <v>24.396699426303783</v>
      </c>
      <c r="H85" s="118">
        <v>13.42468154727124</v>
      </c>
      <c r="I85" s="118">
        <v>35.168650916986856</v>
      </c>
      <c r="K85" s="108"/>
      <c r="L85" s="180"/>
      <c r="M85" s="180"/>
      <c r="N85" s="180"/>
      <c r="O85" s="180"/>
      <c r="P85" s="180"/>
      <c r="Q85" s="180"/>
    </row>
    <row r="86" spans="1:17" ht="15" customHeight="1" x14ac:dyDescent="0.2">
      <c r="A86" s="20"/>
      <c r="B86" s="187">
        <v>2017</v>
      </c>
      <c r="C86" s="150">
        <v>100</v>
      </c>
      <c r="D86" s="118">
        <v>0.90854098643838965</v>
      </c>
      <c r="E86" s="118">
        <v>20.168730254478593</v>
      </c>
      <c r="F86" s="118">
        <v>5.7374660757892313</v>
      </c>
      <c r="G86" s="118">
        <v>24.1185420764326</v>
      </c>
      <c r="H86" s="118">
        <v>13.590664040198476</v>
      </c>
      <c r="I86" s="118">
        <v>35.476056566662706</v>
      </c>
      <c r="K86" s="108"/>
      <c r="L86" s="180"/>
      <c r="M86" s="180"/>
      <c r="N86" s="180"/>
      <c r="O86" s="180"/>
      <c r="P86" s="180"/>
      <c r="Q86" s="180"/>
    </row>
    <row r="87" spans="1:17" ht="15" customHeight="1" x14ac:dyDescent="0.2">
      <c r="A87" s="20"/>
      <c r="B87" s="187">
        <v>2018</v>
      </c>
      <c r="C87" s="150">
        <v>100</v>
      </c>
      <c r="D87" s="118">
        <v>0.88616861680838643</v>
      </c>
      <c r="E87" s="118">
        <v>20.367422050418305</v>
      </c>
      <c r="F87" s="118">
        <v>5.6763983924598937</v>
      </c>
      <c r="G87" s="118">
        <v>24.133724972624996</v>
      </c>
      <c r="H87" s="118">
        <v>13.770690029473078</v>
      </c>
      <c r="I87" s="118">
        <v>35.165595938215354</v>
      </c>
      <c r="K87" s="108"/>
      <c r="L87" s="180"/>
      <c r="M87" s="180"/>
      <c r="N87" s="180"/>
      <c r="O87" s="180"/>
      <c r="P87" s="180"/>
      <c r="Q87" s="180"/>
    </row>
    <row r="88" spans="1:17" ht="15" customHeight="1" x14ac:dyDescent="0.2">
      <c r="A88" s="20"/>
      <c r="B88" s="187">
        <v>2019</v>
      </c>
      <c r="C88" s="150">
        <v>100</v>
      </c>
      <c r="D88" s="118">
        <v>0.8759345180633612</v>
      </c>
      <c r="E88" s="118">
        <v>20.249381333273387</v>
      </c>
      <c r="F88" s="118">
        <v>5.7144898199683594</v>
      </c>
      <c r="G88" s="118">
        <v>24.070508984007656</v>
      </c>
      <c r="H88" s="118">
        <v>13.53302009208284</v>
      </c>
      <c r="I88" s="118">
        <v>35.556665252604404</v>
      </c>
      <c r="K88" s="108"/>
      <c r="L88" s="180"/>
      <c r="M88" s="180"/>
      <c r="N88" s="180"/>
      <c r="O88" s="180"/>
      <c r="P88" s="180"/>
      <c r="Q88" s="180"/>
    </row>
    <row r="89" spans="1:17" ht="15" customHeight="1" x14ac:dyDescent="0.2">
      <c r="A89" s="20"/>
      <c r="B89" s="187"/>
      <c r="C89" s="150"/>
      <c r="D89" s="118"/>
      <c r="E89" s="118"/>
      <c r="F89" s="118"/>
      <c r="G89" s="118"/>
      <c r="H89" s="118"/>
      <c r="I89" s="118"/>
      <c r="J89" s="104"/>
      <c r="K89" s="108"/>
    </row>
    <row r="90" spans="1:17" ht="15" customHeight="1" x14ac:dyDescent="0.2">
      <c r="A90" s="20"/>
      <c r="B90" s="187">
        <v>2020</v>
      </c>
      <c r="C90" s="150">
        <v>100</v>
      </c>
      <c r="D90" s="118">
        <v>0.88479680207681843</v>
      </c>
      <c r="E90" s="118">
        <v>19.887976823234588</v>
      </c>
      <c r="F90" s="118">
        <v>5.9159699068359695</v>
      </c>
      <c r="G90" s="118">
        <v>23.363676166020518</v>
      </c>
      <c r="H90" s="118">
        <v>13.521045138214648</v>
      </c>
      <c r="I90" s="118">
        <v>36.426535163617451</v>
      </c>
      <c r="J90" s="104"/>
      <c r="K90" s="108"/>
      <c r="L90" s="180"/>
      <c r="M90" s="180"/>
      <c r="N90" s="180"/>
      <c r="O90" s="180"/>
      <c r="P90" s="180"/>
      <c r="Q90" s="180"/>
    </row>
    <row r="91" spans="1:17" ht="15" customHeight="1" x14ac:dyDescent="0.2">
      <c r="A91" s="20"/>
      <c r="B91" s="187">
        <v>2021</v>
      </c>
      <c r="C91" s="150">
        <v>100</v>
      </c>
      <c r="D91" s="118">
        <v>0.87030710806291289</v>
      </c>
      <c r="E91" s="118">
        <v>19.716393192991021</v>
      </c>
      <c r="F91" s="118">
        <v>5.9086371477504462</v>
      </c>
      <c r="G91" s="118">
        <v>23.357409434085596</v>
      </c>
      <c r="H91" s="118">
        <v>13.672321984137676</v>
      </c>
      <c r="I91" s="118">
        <v>36.474931132972351</v>
      </c>
      <c r="J91" s="104"/>
      <c r="K91" s="108"/>
      <c r="L91" s="180"/>
      <c r="M91" s="180"/>
      <c r="N91" s="180"/>
      <c r="O91" s="180"/>
      <c r="P91" s="180"/>
      <c r="Q91" s="180"/>
    </row>
    <row r="92" spans="1:17" ht="15" customHeight="1" x14ac:dyDescent="0.2">
      <c r="A92" s="20"/>
      <c r="B92" s="187">
        <v>2022</v>
      </c>
      <c r="C92" s="150">
        <v>100</v>
      </c>
      <c r="D92" s="118">
        <v>0.86204968929241954</v>
      </c>
      <c r="E92" s="118">
        <v>19.107378242048679</v>
      </c>
      <c r="F92" s="118">
        <v>5.9428954373682705</v>
      </c>
      <c r="G92" s="118">
        <v>23.537445610009787</v>
      </c>
      <c r="H92" s="118">
        <v>14.334660825870529</v>
      </c>
      <c r="I92" s="118">
        <v>36.215570195410322</v>
      </c>
      <c r="J92" s="104"/>
      <c r="K92" s="108"/>
      <c r="L92" s="180"/>
      <c r="M92" s="180"/>
      <c r="N92" s="180"/>
      <c r="O92" s="180"/>
      <c r="P92" s="180"/>
      <c r="Q92" s="180"/>
    </row>
    <row r="93" spans="1:17" ht="15" customHeight="1" x14ac:dyDescent="0.2">
      <c r="A93" s="20"/>
      <c r="B93" s="187">
        <v>2023</v>
      </c>
      <c r="C93" s="150">
        <v>100</v>
      </c>
      <c r="D93" s="118">
        <v>0.87497453018194149</v>
      </c>
      <c r="E93" s="118">
        <v>19.021625073299319</v>
      </c>
      <c r="F93" s="118">
        <v>5.9152180607831912</v>
      </c>
      <c r="G93" s="118">
        <v>23.578283932091011</v>
      </c>
      <c r="H93" s="118">
        <v>14.441465607633283</v>
      </c>
      <c r="I93" s="118">
        <v>36.16843279601126</v>
      </c>
      <c r="J93" s="104"/>
      <c r="K93" s="108"/>
      <c r="L93" s="180"/>
      <c r="M93" s="180"/>
      <c r="N93" s="180"/>
      <c r="O93" s="180"/>
      <c r="P93" s="180"/>
      <c r="Q93" s="180"/>
    </row>
    <row r="94" spans="1:17" ht="15" customHeight="1" x14ac:dyDescent="0.2">
      <c r="A94" s="20"/>
      <c r="B94" s="187">
        <v>2024</v>
      </c>
      <c r="C94" s="150">
        <v>100</v>
      </c>
      <c r="D94" s="118">
        <v>0.88211745518254303</v>
      </c>
      <c r="E94" s="118">
        <v>18.772297336181687</v>
      </c>
      <c r="F94" s="118">
        <v>5.7588004285882768</v>
      </c>
      <c r="G94" s="118">
        <v>23.490967889091124</v>
      </c>
      <c r="H94" s="118">
        <v>14.451894387812006</v>
      </c>
      <c r="I94" s="118">
        <v>36.643922503144374</v>
      </c>
      <c r="J94" s="104"/>
      <c r="K94" s="108"/>
      <c r="L94" s="180"/>
      <c r="M94" s="180"/>
      <c r="N94" s="180"/>
      <c r="O94" s="180"/>
      <c r="P94" s="180"/>
      <c r="Q94" s="180"/>
    </row>
    <row r="95" spans="1:17" s="101" customFormat="1" ht="15" customHeight="1" x14ac:dyDescent="0.2">
      <c r="A95" s="20"/>
      <c r="B95" s="187"/>
      <c r="C95" s="389" t="s">
        <v>10</v>
      </c>
      <c r="D95" s="389"/>
      <c r="E95" s="389"/>
      <c r="F95" s="389"/>
      <c r="G95" s="389"/>
      <c r="H95" s="389"/>
      <c r="I95" s="389"/>
      <c r="J95" s="103"/>
      <c r="K95" s="108"/>
      <c r="L95" s="100"/>
      <c r="M95" s="100"/>
      <c r="N95" s="100"/>
      <c r="O95" s="100"/>
      <c r="P95" s="100"/>
      <c r="Q95" s="100"/>
    </row>
    <row r="96" spans="1:17" ht="15" customHeight="1" x14ac:dyDescent="0.2">
      <c r="A96" s="20"/>
      <c r="B96" s="187">
        <v>2000</v>
      </c>
      <c r="C96" s="118">
        <v>2.9326786129775999</v>
      </c>
      <c r="D96" s="118">
        <v>4.1879216379437327</v>
      </c>
      <c r="E96" s="118">
        <v>2.2938344900124332</v>
      </c>
      <c r="F96" s="118">
        <v>3.1726393391195233</v>
      </c>
      <c r="G96" s="118">
        <v>3.2462234965668149</v>
      </c>
      <c r="H96" s="118">
        <v>2.3655359266069351</v>
      </c>
      <c r="I96" s="118">
        <v>3.5377730829717491</v>
      </c>
      <c r="K96" s="181"/>
      <c r="L96" s="181"/>
      <c r="M96" s="181"/>
      <c r="N96" s="181"/>
      <c r="O96" s="181"/>
      <c r="P96" s="181"/>
      <c r="Q96" s="181"/>
    </row>
    <row r="97" spans="1:17" ht="15" customHeight="1" x14ac:dyDescent="0.2">
      <c r="A97" s="20"/>
      <c r="B97" s="187">
        <v>2001</v>
      </c>
      <c r="C97" s="118">
        <v>2.9302695717902054</v>
      </c>
      <c r="D97" s="118">
        <v>4.298744836352081</v>
      </c>
      <c r="E97" s="118">
        <v>2.2853473122928376</v>
      </c>
      <c r="F97" s="118">
        <v>3.2581937556750717</v>
      </c>
      <c r="G97" s="118">
        <v>3.2421824494656581</v>
      </c>
      <c r="H97" s="118">
        <v>2.3492728575378967</v>
      </c>
      <c r="I97" s="118">
        <v>3.5312840305803972</v>
      </c>
      <c r="K97" s="181"/>
      <c r="L97" s="181"/>
      <c r="M97" s="181"/>
      <c r="N97" s="181"/>
      <c r="O97" s="181"/>
      <c r="P97" s="181"/>
      <c r="Q97" s="181"/>
    </row>
    <row r="98" spans="1:17" ht="15" customHeight="1" x14ac:dyDescent="0.2">
      <c r="A98" s="20"/>
      <c r="B98" s="187">
        <v>2002</v>
      </c>
      <c r="C98" s="118">
        <v>2.9270612823573519</v>
      </c>
      <c r="D98" s="118">
        <v>4.3276433327919444</v>
      </c>
      <c r="E98" s="118">
        <v>2.2870794806514234</v>
      </c>
      <c r="F98" s="118">
        <v>3.2797359971459152</v>
      </c>
      <c r="G98" s="118">
        <v>3.2257881218301394</v>
      </c>
      <c r="H98" s="118">
        <v>2.344137647700864</v>
      </c>
      <c r="I98" s="118">
        <v>3.5180766108421779</v>
      </c>
      <c r="K98" s="181"/>
      <c r="L98" s="181"/>
      <c r="M98" s="181"/>
      <c r="N98" s="181"/>
      <c r="O98" s="181"/>
      <c r="P98" s="181"/>
      <c r="Q98" s="181"/>
    </row>
    <row r="99" spans="1:17" ht="15" customHeight="1" x14ac:dyDescent="0.2">
      <c r="A99" s="20"/>
      <c r="B99" s="187">
        <v>2003</v>
      </c>
      <c r="C99" s="118">
        <v>2.9114594536182739</v>
      </c>
      <c r="D99" s="118">
        <v>4.3067049180327865</v>
      </c>
      <c r="E99" s="118">
        <v>2.2980929645732542</v>
      </c>
      <c r="F99" s="118">
        <v>3.2482574679943101</v>
      </c>
      <c r="G99" s="118">
        <v>3.1704396546445412</v>
      </c>
      <c r="H99" s="118">
        <v>2.341828746913952</v>
      </c>
      <c r="I99" s="118">
        <v>3.5024304639491555</v>
      </c>
      <c r="K99" s="181"/>
      <c r="L99" s="181"/>
      <c r="M99" s="181"/>
      <c r="N99" s="181"/>
      <c r="O99" s="181"/>
      <c r="P99" s="181"/>
      <c r="Q99" s="181"/>
    </row>
    <row r="100" spans="1:17" ht="15" customHeight="1" x14ac:dyDescent="0.2">
      <c r="A100" s="20"/>
      <c r="B100" s="187">
        <v>2004</v>
      </c>
      <c r="C100" s="118">
        <v>2.8817463218339761</v>
      </c>
      <c r="D100" s="118">
        <v>4.3770693328962462</v>
      </c>
      <c r="E100" s="118">
        <v>2.2663178863430202</v>
      </c>
      <c r="F100" s="118">
        <v>3.1788490392526985</v>
      </c>
      <c r="G100" s="118">
        <v>3.0769798355729781</v>
      </c>
      <c r="H100" s="118">
        <v>2.3741665834473928</v>
      </c>
      <c r="I100" s="118">
        <v>3.5075453364049856</v>
      </c>
      <c r="K100" s="181"/>
      <c r="L100" s="181"/>
      <c r="M100" s="181"/>
      <c r="N100" s="181"/>
      <c r="O100" s="181"/>
      <c r="P100" s="181"/>
      <c r="Q100" s="181"/>
    </row>
    <row r="101" spans="1:17" ht="15" customHeight="1" x14ac:dyDescent="0.2">
      <c r="A101" s="20"/>
      <c r="B101" s="187"/>
      <c r="C101" s="118"/>
      <c r="D101" s="118"/>
      <c r="E101" s="118"/>
      <c r="F101" s="118"/>
      <c r="G101" s="118"/>
      <c r="H101" s="118"/>
      <c r="I101" s="118"/>
      <c r="K101" s="181"/>
      <c r="L101" s="181"/>
      <c r="M101" s="181"/>
      <c r="N101" s="181"/>
      <c r="O101" s="181"/>
      <c r="P101" s="181"/>
      <c r="Q101" s="181"/>
    </row>
    <row r="102" spans="1:17" ht="15" customHeight="1" x14ac:dyDescent="0.2">
      <c r="A102" s="20"/>
      <c r="B102" s="187">
        <v>2005</v>
      </c>
      <c r="C102" s="118">
        <v>2.8694517357863054</v>
      </c>
      <c r="D102" s="118">
        <v>4.4750866250866252</v>
      </c>
      <c r="E102" s="118">
        <v>2.2272207250493361</v>
      </c>
      <c r="F102" s="118">
        <v>3.2125850692645179</v>
      </c>
      <c r="G102" s="118">
        <v>3.0601409502900574</v>
      </c>
      <c r="H102" s="118">
        <v>2.2734695503246107</v>
      </c>
      <c r="I102" s="118">
        <v>3.574493356098285</v>
      </c>
      <c r="K102" s="181"/>
      <c r="L102" s="181"/>
      <c r="M102" s="181"/>
      <c r="N102" s="181"/>
      <c r="O102" s="181"/>
      <c r="P102" s="181"/>
      <c r="Q102" s="181"/>
    </row>
    <row r="103" spans="1:17" ht="15" customHeight="1" x14ac:dyDescent="0.2">
      <c r="A103" s="20"/>
      <c r="B103" s="187">
        <v>2006</v>
      </c>
      <c r="C103" s="118">
        <v>2.8382786056862317</v>
      </c>
      <c r="D103" s="118">
        <v>4.5553630796150477</v>
      </c>
      <c r="E103" s="118">
        <v>2.2191728688667816</v>
      </c>
      <c r="F103" s="118">
        <v>3.2519636992221264</v>
      </c>
      <c r="G103" s="118">
        <v>3.0347502327024509</v>
      </c>
      <c r="H103" s="118">
        <v>2.252482389744487</v>
      </c>
      <c r="I103" s="118">
        <v>3.5167445938047925</v>
      </c>
      <c r="K103" s="181"/>
      <c r="L103" s="181"/>
      <c r="M103" s="181"/>
      <c r="N103" s="181"/>
      <c r="O103" s="181"/>
      <c r="P103" s="181"/>
      <c r="Q103" s="181"/>
    </row>
    <row r="104" spans="1:17" ht="15" customHeight="1" x14ac:dyDescent="0.2">
      <c r="A104" s="20"/>
      <c r="B104" s="187">
        <v>2007</v>
      </c>
      <c r="C104" s="118">
        <v>2.8349157355694916</v>
      </c>
      <c r="D104" s="118">
        <v>4.6293829247675404</v>
      </c>
      <c r="E104" s="118">
        <v>2.2232034827677936</v>
      </c>
      <c r="F104" s="118">
        <v>3.2550518768452128</v>
      </c>
      <c r="G104" s="118">
        <v>3.059404031232976</v>
      </c>
      <c r="H104" s="118">
        <v>2.2247298249275969</v>
      </c>
      <c r="I104" s="118">
        <v>3.5171079007194161</v>
      </c>
      <c r="K104" s="181"/>
      <c r="L104" s="181"/>
      <c r="M104" s="181"/>
      <c r="N104" s="181"/>
      <c r="O104" s="181"/>
      <c r="P104" s="181"/>
      <c r="Q104" s="181"/>
    </row>
    <row r="105" spans="1:17" ht="15" customHeight="1" x14ac:dyDescent="0.2">
      <c r="B105" s="187">
        <v>2008</v>
      </c>
      <c r="C105" s="118">
        <v>2.8084516777383559</v>
      </c>
      <c r="D105" s="118">
        <v>4.7418782147005141</v>
      </c>
      <c r="E105" s="118">
        <v>2.2054095505975697</v>
      </c>
      <c r="F105" s="118">
        <v>3.2968762064624424</v>
      </c>
      <c r="G105" s="118">
        <v>3.0523860176540545</v>
      </c>
      <c r="H105" s="118">
        <v>2.1756734625832328</v>
      </c>
      <c r="I105" s="118">
        <v>3.4752290962062911</v>
      </c>
      <c r="K105" s="181"/>
      <c r="L105" s="181"/>
      <c r="M105" s="181"/>
      <c r="N105" s="181"/>
      <c r="O105" s="181"/>
      <c r="P105" s="181"/>
      <c r="Q105" s="181"/>
    </row>
    <row r="106" spans="1:17" ht="15" customHeight="1" x14ac:dyDescent="0.2">
      <c r="B106" s="187">
        <v>2009</v>
      </c>
      <c r="C106" s="118">
        <v>2.834011479691581</v>
      </c>
      <c r="D106" s="118">
        <v>4.8371979892978754</v>
      </c>
      <c r="E106" s="118">
        <v>2.2575248276718445</v>
      </c>
      <c r="F106" s="118">
        <v>3.217321350920423</v>
      </c>
      <c r="G106" s="118">
        <v>3.0831924543503475</v>
      </c>
      <c r="H106" s="118">
        <v>2.2103999094804472</v>
      </c>
      <c r="I106" s="118">
        <v>3.4197479960322781</v>
      </c>
      <c r="K106" s="181"/>
      <c r="L106" s="181"/>
      <c r="M106" s="181"/>
      <c r="N106" s="181"/>
      <c r="O106" s="181"/>
      <c r="P106" s="181"/>
      <c r="Q106" s="181"/>
    </row>
    <row r="107" spans="1:17" ht="15" customHeight="1" x14ac:dyDescent="0.2">
      <c r="B107" s="187"/>
      <c r="C107" s="118"/>
      <c r="D107" s="118"/>
      <c r="E107" s="118"/>
      <c r="F107" s="118"/>
      <c r="G107" s="118"/>
      <c r="H107" s="118"/>
      <c r="I107" s="118"/>
      <c r="K107" s="181"/>
      <c r="L107" s="181"/>
      <c r="M107" s="181"/>
      <c r="N107" s="181"/>
      <c r="O107" s="181"/>
      <c r="P107" s="181"/>
      <c r="Q107" s="181"/>
    </row>
    <row r="108" spans="1:17" ht="15" customHeight="1" x14ac:dyDescent="0.2">
      <c r="B108" s="187">
        <v>2010</v>
      </c>
      <c r="C108" s="118">
        <v>2.8069212506538972</v>
      </c>
      <c r="D108" s="118">
        <v>4.9101610305958134</v>
      </c>
      <c r="E108" s="118">
        <v>2.2004642934244725</v>
      </c>
      <c r="F108" s="118">
        <v>3.1934532203121289</v>
      </c>
      <c r="G108" s="118">
        <v>3.040213978568016</v>
      </c>
      <c r="H108" s="118">
        <v>2.2245385435302181</v>
      </c>
      <c r="I108" s="118">
        <v>3.4158675218113834</v>
      </c>
      <c r="K108" s="181"/>
      <c r="L108" s="181"/>
      <c r="M108" s="181"/>
      <c r="N108" s="181"/>
      <c r="O108" s="181"/>
      <c r="P108" s="181"/>
      <c r="Q108" s="181"/>
    </row>
    <row r="109" spans="1:17" ht="15" customHeight="1" x14ac:dyDescent="0.2">
      <c r="B109" s="187">
        <v>2011</v>
      </c>
      <c r="C109" s="118">
        <v>2.7778681577912718</v>
      </c>
      <c r="D109" s="118">
        <v>4.9706379821958455</v>
      </c>
      <c r="E109" s="118">
        <v>2.1512606454056389</v>
      </c>
      <c r="F109" s="118">
        <v>3.2634861854036177</v>
      </c>
      <c r="G109" s="118">
        <v>3.0135525678254651</v>
      </c>
      <c r="H109" s="118">
        <v>2.1931765893923427</v>
      </c>
      <c r="I109" s="118">
        <v>3.41061882159357</v>
      </c>
      <c r="K109" s="181"/>
      <c r="L109" s="181"/>
      <c r="M109" s="181"/>
      <c r="N109" s="181"/>
      <c r="O109" s="181"/>
      <c r="P109" s="181"/>
      <c r="Q109" s="181"/>
    </row>
    <row r="110" spans="1:17" ht="15" customHeight="1" x14ac:dyDescent="0.2">
      <c r="B110" s="187">
        <v>2012</v>
      </c>
      <c r="C110" s="118">
        <v>2.7525823623607932</v>
      </c>
      <c r="D110" s="118">
        <v>5.0179406281371</v>
      </c>
      <c r="E110" s="118">
        <v>2.0948036294237786</v>
      </c>
      <c r="F110" s="118">
        <v>3.3908293590443987</v>
      </c>
      <c r="G110" s="118">
        <v>3.0059438953652968</v>
      </c>
      <c r="H110" s="118">
        <v>2.1507238198769363</v>
      </c>
      <c r="I110" s="118">
        <v>3.3937043827011832</v>
      </c>
      <c r="K110" s="181"/>
      <c r="L110" s="181"/>
      <c r="M110" s="181"/>
      <c r="N110" s="181"/>
      <c r="O110" s="181"/>
      <c r="P110" s="181"/>
      <c r="Q110" s="181"/>
    </row>
    <row r="111" spans="1:17" ht="15" customHeight="1" x14ac:dyDescent="0.2">
      <c r="B111" s="187">
        <v>2013</v>
      </c>
      <c r="C111" s="118">
        <v>2.7472446435233984</v>
      </c>
      <c r="D111" s="118">
        <v>5.0454644808743172</v>
      </c>
      <c r="E111" s="118">
        <v>2.1382555762819493</v>
      </c>
      <c r="F111" s="118">
        <v>3.354742391352501</v>
      </c>
      <c r="G111" s="118">
        <v>3.0177449957018299</v>
      </c>
      <c r="H111" s="118">
        <v>2.1607844328106212</v>
      </c>
      <c r="I111" s="118">
        <v>3.3280806625341501</v>
      </c>
      <c r="K111" s="181"/>
      <c r="L111" s="181"/>
      <c r="M111" s="181"/>
      <c r="N111" s="181"/>
      <c r="O111" s="181"/>
      <c r="P111" s="181"/>
      <c r="Q111" s="181"/>
    </row>
    <row r="112" spans="1:17" ht="15" customHeight="1" x14ac:dyDescent="0.2">
      <c r="B112" s="187">
        <v>2014</v>
      </c>
      <c r="C112" s="118">
        <v>2.7182558572202602</v>
      </c>
      <c r="D112" s="118">
        <v>5.0529211867729709</v>
      </c>
      <c r="E112" s="118">
        <v>2.0659886176052824</v>
      </c>
      <c r="F112" s="118">
        <v>3.4567990390252969</v>
      </c>
      <c r="G112" s="118">
        <v>2.9921832630144003</v>
      </c>
      <c r="H112" s="118">
        <v>2.094011326296255</v>
      </c>
      <c r="I112" s="118">
        <v>3.34087343898008</v>
      </c>
      <c r="K112" s="181"/>
      <c r="L112" s="181"/>
      <c r="M112" s="181"/>
      <c r="N112" s="181"/>
      <c r="O112" s="181"/>
      <c r="P112" s="181"/>
      <c r="Q112" s="181"/>
    </row>
    <row r="113" spans="2:17" ht="15" customHeight="1" x14ac:dyDescent="0.2">
      <c r="B113" s="187"/>
      <c r="C113" s="118"/>
      <c r="D113" s="118"/>
      <c r="E113" s="118"/>
      <c r="F113" s="118"/>
      <c r="G113" s="118"/>
      <c r="H113" s="118"/>
      <c r="I113" s="118"/>
      <c r="K113" s="181"/>
      <c r="L113" s="181"/>
      <c r="M113" s="181"/>
      <c r="N113" s="181"/>
      <c r="O113" s="181"/>
      <c r="P113" s="181"/>
      <c r="Q113" s="181"/>
    </row>
    <row r="114" spans="2:17" ht="15" customHeight="1" x14ac:dyDescent="0.2">
      <c r="B114" s="187">
        <v>2015</v>
      </c>
      <c r="C114" s="118">
        <v>2.7108892449454332</v>
      </c>
      <c r="D114" s="118">
        <v>5.0472453879201415</v>
      </c>
      <c r="E114" s="118">
        <v>2.0794990598354248</v>
      </c>
      <c r="F114" s="118">
        <v>3.4981731411398043</v>
      </c>
      <c r="G114" s="118">
        <v>2.9628549490278746</v>
      </c>
      <c r="H114" s="118">
        <v>2.0727783827588828</v>
      </c>
      <c r="I114" s="118">
        <v>3.3341739919456717</v>
      </c>
      <c r="K114" s="181"/>
      <c r="L114" s="181"/>
      <c r="M114" s="181"/>
      <c r="N114" s="181"/>
      <c r="O114" s="181"/>
      <c r="P114" s="181"/>
      <c r="Q114" s="181"/>
    </row>
    <row r="115" spans="2:17" ht="15" customHeight="1" x14ac:dyDescent="0.2">
      <c r="B115" s="187">
        <v>2016</v>
      </c>
      <c r="C115" s="118">
        <v>2.717751950191897</v>
      </c>
      <c r="D115" s="118">
        <v>5.0121175030599758</v>
      </c>
      <c r="E115" s="118">
        <v>2.0751997586792679</v>
      </c>
      <c r="F115" s="118">
        <v>3.5165320133259601</v>
      </c>
      <c r="G115" s="118">
        <v>2.9657261525009311</v>
      </c>
      <c r="H115" s="118">
        <v>2.1080994397710278</v>
      </c>
      <c r="I115" s="118">
        <v>3.3224797291912229</v>
      </c>
      <c r="K115" s="181"/>
      <c r="L115" s="181"/>
      <c r="M115" s="181"/>
      <c r="N115" s="181"/>
      <c r="O115" s="181"/>
      <c r="P115" s="181"/>
      <c r="Q115" s="181"/>
    </row>
    <row r="116" spans="2:17" ht="15" customHeight="1" x14ac:dyDescent="0.2">
      <c r="B116" s="187">
        <v>2017</v>
      </c>
      <c r="C116" s="118">
        <v>2.7167411207772858</v>
      </c>
      <c r="D116" s="118">
        <v>5.1849157269310053</v>
      </c>
      <c r="E116" s="118">
        <v>2.0830347424598856</v>
      </c>
      <c r="F116" s="118">
        <v>3.4804511181285043</v>
      </c>
      <c r="G116" s="118">
        <v>2.9449916070599285</v>
      </c>
      <c r="H116" s="118">
        <v>2.0930337725742221</v>
      </c>
      <c r="I116" s="118">
        <v>3.3405729742923853</v>
      </c>
      <c r="K116" s="181"/>
      <c r="L116" s="181"/>
      <c r="M116" s="181"/>
      <c r="N116" s="181"/>
      <c r="O116" s="181"/>
      <c r="P116" s="181"/>
      <c r="Q116" s="181"/>
    </row>
    <row r="117" spans="2:17" ht="15" customHeight="1" x14ac:dyDescent="0.2">
      <c r="B117" s="187">
        <v>2018</v>
      </c>
      <c r="C117" s="118">
        <v>2.7276032954096192</v>
      </c>
      <c r="D117" s="118">
        <v>5.255902777777778</v>
      </c>
      <c r="E117" s="118">
        <v>2.1121157755247726</v>
      </c>
      <c r="F117" s="118">
        <v>3.4262194007481508</v>
      </c>
      <c r="G117" s="118">
        <v>2.9436566171908085</v>
      </c>
      <c r="H117" s="118">
        <v>2.1260911031806637</v>
      </c>
      <c r="I117" s="118">
        <v>3.3433167827510561</v>
      </c>
      <c r="K117" s="181"/>
      <c r="L117" s="181"/>
      <c r="M117" s="181"/>
      <c r="N117" s="181"/>
      <c r="O117" s="181"/>
      <c r="P117" s="181"/>
      <c r="Q117" s="181"/>
    </row>
    <row r="118" spans="2:17" ht="15" customHeight="1" x14ac:dyDescent="0.2">
      <c r="B118" s="187">
        <v>2019</v>
      </c>
      <c r="C118" s="118">
        <v>2.7266024349903084</v>
      </c>
      <c r="D118" s="118">
        <v>5.307875950848449</v>
      </c>
      <c r="E118" s="118">
        <v>2.1231105828419619</v>
      </c>
      <c r="F118" s="118">
        <v>3.4085046825863081</v>
      </c>
      <c r="G118" s="118">
        <v>2.9127973283102824</v>
      </c>
      <c r="H118" s="118">
        <v>2.1079276840237045</v>
      </c>
      <c r="I118" s="118">
        <v>3.3503731390814284</v>
      </c>
      <c r="K118" s="181"/>
      <c r="L118" s="181"/>
      <c r="M118" s="181"/>
      <c r="N118" s="181"/>
      <c r="O118" s="181"/>
      <c r="P118" s="181"/>
      <c r="Q118" s="181"/>
    </row>
    <row r="119" spans="2:17" ht="15" customHeight="1" x14ac:dyDescent="0.2">
      <c r="B119" s="187"/>
      <c r="C119" s="118"/>
      <c r="D119" s="118"/>
      <c r="E119" s="118"/>
      <c r="F119" s="118"/>
      <c r="G119" s="118"/>
      <c r="H119" s="118"/>
      <c r="I119" s="118"/>
      <c r="J119" s="104"/>
      <c r="K119" s="181"/>
      <c r="L119" s="181"/>
      <c r="M119" s="181"/>
      <c r="N119" s="181"/>
      <c r="O119" s="181"/>
      <c r="P119" s="181"/>
      <c r="Q119" s="181"/>
    </row>
    <row r="120" spans="2:17" ht="15" customHeight="1" x14ac:dyDescent="0.2">
      <c r="B120" s="187">
        <v>2020</v>
      </c>
      <c r="C120" s="118">
        <v>2.7580971206764744</v>
      </c>
      <c r="D120" s="118">
        <v>5.4104764134379026</v>
      </c>
      <c r="E120" s="118">
        <v>2.1902657758982347</v>
      </c>
      <c r="F120" s="118">
        <v>3.405131115028647</v>
      </c>
      <c r="G120" s="118">
        <v>2.9243446967155768</v>
      </c>
      <c r="H120" s="118">
        <v>2.1223081222056632</v>
      </c>
      <c r="I120" s="118">
        <v>3.3371307165930699</v>
      </c>
      <c r="J120" s="104"/>
      <c r="K120" s="181"/>
      <c r="L120" s="181"/>
      <c r="M120" s="181"/>
      <c r="N120" s="181"/>
      <c r="O120" s="181"/>
      <c r="P120" s="181"/>
      <c r="Q120" s="181"/>
    </row>
    <row r="121" spans="2:17" ht="15" customHeight="1" x14ac:dyDescent="0.2">
      <c r="B121" s="187">
        <v>2021</v>
      </c>
      <c r="C121" s="118">
        <v>2.761927874838515</v>
      </c>
      <c r="D121" s="118">
        <v>5.4436894323950158</v>
      </c>
      <c r="E121" s="118">
        <v>2.2063813231178222</v>
      </c>
      <c r="F121" s="118">
        <v>3.3823771011065125</v>
      </c>
      <c r="G121" s="118">
        <v>2.9178411706561787</v>
      </c>
      <c r="H121" s="118">
        <v>2.1246857883166279</v>
      </c>
      <c r="I121" s="118">
        <v>3.3390525750601934</v>
      </c>
      <c r="J121" s="104"/>
      <c r="K121" s="181"/>
      <c r="L121" s="181"/>
      <c r="M121" s="181"/>
      <c r="N121" s="181"/>
      <c r="O121" s="181"/>
      <c r="P121" s="181"/>
      <c r="Q121" s="181"/>
    </row>
    <row r="122" spans="2:17" ht="15" customHeight="1" x14ac:dyDescent="0.2">
      <c r="B122" s="187">
        <v>2022</v>
      </c>
      <c r="C122" s="118">
        <v>2.7714139676497478</v>
      </c>
      <c r="D122" s="118">
        <v>5.4904725104879661</v>
      </c>
      <c r="E122" s="118">
        <v>2.1835541328600407</v>
      </c>
      <c r="F122" s="118">
        <v>3.4005088074268031</v>
      </c>
      <c r="G122" s="118">
        <v>2.9013864821727324</v>
      </c>
      <c r="H122" s="118">
        <v>2.180577719182597</v>
      </c>
      <c r="I122" s="118">
        <v>3.3716663708102699</v>
      </c>
      <c r="J122" s="104"/>
      <c r="K122" s="181"/>
      <c r="L122" s="181"/>
      <c r="M122" s="181"/>
      <c r="N122" s="181"/>
      <c r="O122" s="181"/>
      <c r="P122" s="181"/>
      <c r="Q122" s="181"/>
    </row>
    <row r="123" spans="2:17" ht="15" customHeight="1" x14ac:dyDescent="0.2">
      <c r="B123" s="187">
        <v>2023</v>
      </c>
      <c r="C123" s="177">
        <v>2.769102541500867</v>
      </c>
      <c r="D123" s="177">
        <v>5.5956273369339424</v>
      </c>
      <c r="E123" s="177">
        <v>2.184680957426171</v>
      </c>
      <c r="F123" s="177">
        <v>3.4195889549239968</v>
      </c>
      <c r="G123" s="177">
        <v>2.8768625617022794</v>
      </c>
      <c r="H123" s="177">
        <v>2.1760101214029985</v>
      </c>
      <c r="I123" s="177">
        <v>3.384248389552722</v>
      </c>
      <c r="J123" s="104"/>
      <c r="K123" s="181"/>
      <c r="L123" s="181"/>
      <c r="M123" s="181"/>
      <c r="N123" s="181"/>
      <c r="O123" s="181"/>
      <c r="P123" s="181"/>
      <c r="Q123" s="181"/>
    </row>
    <row r="124" spans="2:17" ht="15" customHeight="1" x14ac:dyDescent="0.2">
      <c r="B124" s="188">
        <v>2024</v>
      </c>
      <c r="C124" s="152">
        <v>2.7929118264842514</v>
      </c>
      <c r="D124" s="152">
        <v>5.7796383255070438</v>
      </c>
      <c r="E124" s="152">
        <v>2.2044862634706091</v>
      </c>
      <c r="F124" s="152">
        <v>3.408759815867858</v>
      </c>
      <c r="G124" s="152">
        <v>2.878535912686178</v>
      </c>
      <c r="H124" s="152">
        <v>2.1938756093834635</v>
      </c>
      <c r="I124" s="152">
        <v>3.4248976694866942</v>
      </c>
      <c r="J124" s="104"/>
      <c r="K124" s="181"/>
      <c r="L124" s="181"/>
      <c r="M124" s="181"/>
      <c r="N124" s="181"/>
      <c r="O124" s="181"/>
      <c r="P124" s="181"/>
      <c r="Q124" s="181"/>
    </row>
    <row r="125" spans="2:17" s="9" customFormat="1" x14ac:dyDescent="0.2">
      <c r="B125" s="102"/>
      <c r="C125" s="109"/>
      <c r="D125" s="109"/>
      <c r="E125" s="109"/>
      <c r="F125" s="109"/>
      <c r="G125" s="109"/>
      <c r="H125" s="109"/>
      <c r="I125" s="109"/>
      <c r="J125" s="104"/>
      <c r="L125" s="100"/>
      <c r="M125" s="100"/>
      <c r="N125" s="100"/>
      <c r="O125" s="100"/>
      <c r="P125" s="100"/>
      <c r="Q125" s="100"/>
    </row>
    <row r="126" spans="2:17" x14ac:dyDescent="0.2">
      <c r="B126" s="390" t="s">
        <v>181</v>
      </c>
      <c r="C126" s="390"/>
      <c r="D126" s="390"/>
      <c r="E126" s="390"/>
      <c r="F126" s="390"/>
      <c r="G126" s="390"/>
      <c r="H126" s="390"/>
      <c r="I126" s="390"/>
      <c r="K126" s="9"/>
    </row>
    <row r="127" spans="2:17" x14ac:dyDescent="0.2">
      <c r="B127" s="400" t="s">
        <v>182</v>
      </c>
      <c r="C127" s="400"/>
      <c r="D127" s="400"/>
      <c r="E127" s="400"/>
      <c r="F127" s="400"/>
      <c r="G127" s="400"/>
      <c r="H127" s="400"/>
      <c r="I127" s="400"/>
      <c r="K127" s="9"/>
    </row>
    <row r="128" spans="2:17" x14ac:dyDescent="0.2">
      <c r="B128" s="99"/>
      <c r="C128" s="99"/>
      <c r="D128" s="99"/>
      <c r="E128" s="99"/>
      <c r="F128" s="99"/>
      <c r="G128" s="99"/>
      <c r="H128" s="99"/>
      <c r="I128" s="99"/>
      <c r="K128" s="9"/>
    </row>
    <row r="129" spans="2:11" x14ac:dyDescent="0.2">
      <c r="B129" s="388" t="s">
        <v>217</v>
      </c>
      <c r="C129" s="388"/>
      <c r="D129" s="388"/>
      <c r="E129" s="388"/>
      <c r="F129" s="388"/>
      <c r="G129" s="388"/>
      <c r="H129" s="388"/>
      <c r="I129" s="388"/>
      <c r="K129" s="9"/>
    </row>
    <row r="130" spans="2:11" x14ac:dyDescent="0.2">
      <c r="K130" s="9"/>
    </row>
    <row r="131" spans="2:11" x14ac:dyDescent="0.2">
      <c r="I131" s="107" t="s">
        <v>177</v>
      </c>
      <c r="K131" s="9"/>
    </row>
    <row r="132" spans="2:11" x14ac:dyDescent="0.2">
      <c r="K132" s="9"/>
    </row>
    <row r="133" spans="2:11" x14ac:dyDescent="0.2">
      <c r="K133" s="9"/>
    </row>
    <row r="145" spans="11:17" x14ac:dyDescent="0.2">
      <c r="K145" s="9"/>
    </row>
    <row r="149" spans="11:17" x14ac:dyDescent="0.2">
      <c r="L149" s="9"/>
      <c r="M149" s="9"/>
      <c r="N149" s="9"/>
      <c r="O149" s="9"/>
      <c r="P149" s="9"/>
      <c r="Q149" s="9"/>
    </row>
  </sheetData>
  <mergeCells count="11">
    <mergeCell ref="C65:I65"/>
    <mergeCell ref="C95:I95"/>
    <mergeCell ref="B126:I126"/>
    <mergeCell ref="B127:I127"/>
    <mergeCell ref="B129:I129"/>
    <mergeCell ref="C36:I36"/>
    <mergeCell ref="B3:I3"/>
    <mergeCell ref="B4:B5"/>
    <mergeCell ref="C4:C5"/>
    <mergeCell ref="D4:I4"/>
    <mergeCell ref="C6:I6"/>
  </mergeCells>
  <hyperlinks>
    <hyperlink ref="I131" location="Inhaltsverzeichnis!A1" display="› Zurück zum Inhaltsverzeichnis" xr:uid="{DCD24CD4-593D-4740-A6AD-B4CBF5FC7E8F}"/>
  </hyperlinks>
  <pageMargins left="0.7" right="0.7" top="0.78740157499999996" bottom="0.78740157499999996"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66CFB-F746-4DE7-9AD5-42A4CF7D229B}">
  <sheetPr codeName="Tabelle13"/>
  <dimension ref="A1:K126"/>
  <sheetViews>
    <sheetView zoomScaleNormal="100" workbookViewId="0">
      <pane ySplit="5" topLeftCell="A117" activePane="bottomLeft" state="frozen"/>
      <selection pane="bottomLeft"/>
    </sheetView>
  </sheetViews>
  <sheetFormatPr baseColWidth="10" defaultColWidth="11.375" defaultRowHeight="11.4" x14ac:dyDescent="0.2"/>
  <cols>
    <col min="1" max="1" width="2.75" style="9" customWidth="1"/>
    <col min="2" max="2" width="12.75" style="100" customWidth="1"/>
    <col min="3" max="3" width="13.875" style="100" customWidth="1"/>
    <col min="4" max="4" width="17.25" style="100" customWidth="1"/>
    <col min="5" max="5" width="15.75" style="100" customWidth="1"/>
    <col min="6" max="7" width="13.875" style="100" customWidth="1"/>
    <col min="8" max="8" width="16.125" style="100" customWidth="1"/>
    <col min="9" max="10" width="13.875" style="100" customWidth="1"/>
    <col min="11" max="16384" width="11.375" style="100"/>
  </cols>
  <sheetData>
    <row r="1" spans="1:11" s="46" customFormat="1" ht="13.8" x14ac:dyDescent="0.2">
      <c r="C1" s="40"/>
      <c r="E1" s="41"/>
    </row>
    <row r="2" spans="1:11" s="95" customFormat="1" ht="20.100000000000001" customHeight="1" x14ac:dyDescent="0.25">
      <c r="A2" s="93"/>
      <c r="B2" s="97" t="s">
        <v>44</v>
      </c>
      <c r="C2" s="97"/>
      <c r="D2" s="97"/>
      <c r="E2" s="97"/>
      <c r="F2" s="97"/>
      <c r="G2" s="97"/>
      <c r="H2" s="97"/>
    </row>
    <row r="3" spans="1:11" s="80" customFormat="1" ht="50.25" customHeight="1" x14ac:dyDescent="0.2">
      <c r="A3" s="65"/>
      <c r="B3" s="381" t="s">
        <v>210</v>
      </c>
      <c r="C3" s="381"/>
      <c r="D3" s="381"/>
      <c r="E3" s="381"/>
      <c r="F3" s="381"/>
      <c r="G3" s="381"/>
      <c r="H3" s="381"/>
      <c r="I3" s="381"/>
      <c r="J3" s="381"/>
    </row>
    <row r="4" spans="1:11" ht="20.100000000000001" customHeight="1" x14ac:dyDescent="0.2">
      <c r="A4" s="5"/>
      <c r="B4" s="382" t="s">
        <v>0</v>
      </c>
      <c r="C4" s="398" t="s">
        <v>20</v>
      </c>
      <c r="D4" s="398"/>
      <c r="E4" s="398"/>
      <c r="F4" s="398"/>
      <c r="G4" s="383" t="s">
        <v>24</v>
      </c>
      <c r="H4" s="383" t="s">
        <v>65</v>
      </c>
      <c r="I4" s="383" t="s">
        <v>21</v>
      </c>
      <c r="J4" s="401" t="s">
        <v>175</v>
      </c>
    </row>
    <row r="5" spans="1:11" ht="45.6" x14ac:dyDescent="0.2">
      <c r="A5" s="51"/>
      <c r="B5" s="382"/>
      <c r="C5" s="105" t="s">
        <v>14</v>
      </c>
      <c r="D5" s="147" t="s">
        <v>150</v>
      </c>
      <c r="E5" s="105" t="s">
        <v>23</v>
      </c>
      <c r="F5" s="105" t="s">
        <v>22</v>
      </c>
      <c r="G5" s="383"/>
      <c r="H5" s="383"/>
      <c r="I5" s="383"/>
      <c r="J5" s="401"/>
    </row>
    <row r="6" spans="1:11" ht="15" customHeight="1" x14ac:dyDescent="0.2">
      <c r="A6" s="20"/>
      <c r="B6" s="154"/>
      <c r="C6" s="389" t="s">
        <v>7</v>
      </c>
      <c r="D6" s="389"/>
      <c r="E6" s="389"/>
      <c r="F6" s="389"/>
      <c r="G6" s="389"/>
      <c r="H6" s="389"/>
      <c r="I6" s="389"/>
      <c r="J6" s="389"/>
      <c r="K6" s="20"/>
    </row>
    <row r="7" spans="1:11" ht="15" customHeight="1" x14ac:dyDescent="0.2">
      <c r="A7" s="20"/>
      <c r="B7" s="115">
        <v>2000</v>
      </c>
      <c r="C7" s="111">
        <v>53798.097000000002</v>
      </c>
      <c r="D7" s="111">
        <v>39073.998</v>
      </c>
      <c r="E7" s="111">
        <v>7820.3559999999998</v>
      </c>
      <c r="F7" s="111">
        <v>6903.7430000000004</v>
      </c>
      <c r="G7" s="111">
        <v>13622.323</v>
      </c>
      <c r="H7" s="111">
        <v>7055.7910000000002</v>
      </c>
      <c r="I7" s="111">
        <v>15728.55</v>
      </c>
      <c r="J7" s="111">
        <v>44615.743000000002</v>
      </c>
    </row>
    <row r="8" spans="1:11" ht="15" customHeight="1" x14ac:dyDescent="0.2">
      <c r="A8" s="20"/>
      <c r="B8" s="115">
        <v>2001</v>
      </c>
      <c r="C8" s="111">
        <v>55135.875999999997</v>
      </c>
      <c r="D8" s="111">
        <v>39510.561000000002</v>
      </c>
      <c r="E8" s="111">
        <v>7649.201</v>
      </c>
      <c r="F8" s="111">
        <v>7976.1139999999996</v>
      </c>
      <c r="G8" s="111">
        <v>14325.308999999999</v>
      </c>
      <c r="H8" s="111">
        <v>7152.9049999999997</v>
      </c>
      <c r="I8" s="111">
        <v>15815.406000000001</v>
      </c>
      <c r="J8" s="111">
        <v>46470.817999999999</v>
      </c>
    </row>
    <row r="9" spans="1:11" ht="15" customHeight="1" x14ac:dyDescent="0.2">
      <c r="A9" s="20"/>
      <c r="B9" s="115">
        <v>2002</v>
      </c>
      <c r="C9" s="111">
        <v>55047.677000000003</v>
      </c>
      <c r="D9" s="111">
        <v>39782.159</v>
      </c>
      <c r="E9" s="111">
        <v>7565.0969999999998</v>
      </c>
      <c r="F9" s="111">
        <v>7700.4210000000003</v>
      </c>
      <c r="G9" s="111">
        <v>14972.513999999999</v>
      </c>
      <c r="H9" s="111">
        <v>6865.5029999999997</v>
      </c>
      <c r="I9" s="111">
        <v>16048.356</v>
      </c>
      <c r="J9" s="111">
        <v>47126.826000000001</v>
      </c>
    </row>
    <row r="10" spans="1:11" ht="15" customHeight="1" x14ac:dyDescent="0.2">
      <c r="A10" s="20"/>
      <c r="B10" s="115">
        <v>2003</v>
      </c>
      <c r="C10" s="111">
        <v>56717.13</v>
      </c>
      <c r="D10" s="111">
        <v>39859.267999999996</v>
      </c>
      <c r="E10" s="111">
        <v>7535.7430000000004</v>
      </c>
      <c r="F10" s="111">
        <v>9322.1190000000006</v>
      </c>
      <c r="G10" s="111">
        <v>15564.689</v>
      </c>
      <c r="H10" s="111">
        <v>6669.1509999999998</v>
      </c>
      <c r="I10" s="111">
        <v>16453.358</v>
      </c>
      <c r="J10" s="111">
        <v>49169.612000000001</v>
      </c>
    </row>
    <row r="11" spans="1:11" ht="15" customHeight="1" x14ac:dyDescent="0.2">
      <c r="A11" s="20"/>
      <c r="B11" s="115">
        <v>2004</v>
      </c>
      <c r="C11" s="111">
        <v>57006.438999999998</v>
      </c>
      <c r="D11" s="111">
        <v>39729.428</v>
      </c>
      <c r="E11" s="111">
        <v>7611.2860000000001</v>
      </c>
      <c r="F11" s="111">
        <v>9665.7250000000004</v>
      </c>
      <c r="G11" s="111">
        <v>15840.28</v>
      </c>
      <c r="H11" s="111">
        <v>6552.848</v>
      </c>
      <c r="I11" s="111">
        <v>16471.996999999999</v>
      </c>
      <c r="J11" s="111">
        <v>49841.843999999997</v>
      </c>
    </row>
    <row r="12" spans="1:11" ht="15" customHeight="1" x14ac:dyDescent="0.2">
      <c r="A12" s="20"/>
      <c r="B12" s="115"/>
      <c r="C12" s="111"/>
      <c r="D12" s="111"/>
      <c r="E12" s="111"/>
      <c r="F12" s="111"/>
      <c r="G12" s="111"/>
      <c r="H12" s="111"/>
      <c r="I12" s="111"/>
      <c r="J12" s="111"/>
    </row>
    <row r="13" spans="1:11" ht="15" customHeight="1" x14ac:dyDescent="0.2">
      <c r="A13" s="20"/>
      <c r="B13" s="115">
        <v>2005</v>
      </c>
      <c r="C13" s="111">
        <v>58288.413999999997</v>
      </c>
      <c r="D13" s="111">
        <v>39823.065000000002</v>
      </c>
      <c r="E13" s="111">
        <v>7836.1409999999996</v>
      </c>
      <c r="F13" s="111">
        <v>10629.208000000001</v>
      </c>
      <c r="G13" s="111">
        <v>15922.598</v>
      </c>
      <c r="H13" s="111">
        <v>6382.8959999999997</v>
      </c>
      <c r="I13" s="111">
        <v>16540.572</v>
      </c>
      <c r="J13" s="111">
        <v>51384.338000000003</v>
      </c>
    </row>
    <row r="14" spans="1:11" ht="15" customHeight="1" x14ac:dyDescent="0.2">
      <c r="A14" s="20"/>
      <c r="B14" s="115">
        <v>2006</v>
      </c>
      <c r="C14" s="111">
        <v>59700.012999999999</v>
      </c>
      <c r="D14" s="111">
        <v>40329.705000000002</v>
      </c>
      <c r="E14" s="111">
        <v>8143.4880000000003</v>
      </c>
      <c r="F14" s="111">
        <v>11226.82</v>
      </c>
      <c r="G14" s="111">
        <v>15957.308999999999</v>
      </c>
      <c r="H14" s="111">
        <v>6845.3190000000004</v>
      </c>
      <c r="I14" s="111">
        <v>16905.512999999999</v>
      </c>
      <c r="J14" s="111">
        <v>52024.235000000001</v>
      </c>
    </row>
    <row r="15" spans="1:11" ht="15" customHeight="1" x14ac:dyDescent="0.2">
      <c r="A15" s="20"/>
      <c r="B15" s="115">
        <v>2007</v>
      </c>
      <c r="C15" s="111">
        <v>61624.887000000002</v>
      </c>
      <c r="D15" s="111">
        <v>41497.01</v>
      </c>
      <c r="E15" s="111">
        <v>8231.7279999999992</v>
      </c>
      <c r="F15" s="111">
        <v>11896.148999999999</v>
      </c>
      <c r="G15" s="111">
        <v>15827.540999999999</v>
      </c>
      <c r="H15" s="111">
        <v>7319.3230000000003</v>
      </c>
      <c r="I15" s="111">
        <v>17095.493999999999</v>
      </c>
      <c r="J15" s="111">
        <v>53203.652999999998</v>
      </c>
    </row>
    <row r="16" spans="1:11" ht="15" customHeight="1" x14ac:dyDescent="0.2">
      <c r="A16" s="20"/>
      <c r="B16" s="115">
        <v>2008</v>
      </c>
      <c r="C16" s="111">
        <v>63216.411</v>
      </c>
      <c r="D16" s="111">
        <v>42686.95</v>
      </c>
      <c r="E16" s="111">
        <v>8769.0570000000007</v>
      </c>
      <c r="F16" s="111">
        <v>11760.404</v>
      </c>
      <c r="G16" s="111">
        <v>16161.876</v>
      </c>
      <c r="H16" s="111">
        <v>7997.8090000000002</v>
      </c>
      <c r="I16" s="111">
        <v>17477.475999999999</v>
      </c>
      <c r="J16" s="111">
        <v>54089.817000000003</v>
      </c>
    </row>
    <row r="17" spans="1:10" ht="15" customHeight="1" x14ac:dyDescent="0.2">
      <c r="A17" s="20"/>
      <c r="B17" s="115">
        <v>2009</v>
      </c>
      <c r="C17" s="111">
        <v>63397.625999999997</v>
      </c>
      <c r="D17" s="111">
        <v>43561.017</v>
      </c>
      <c r="E17" s="111">
        <v>7387.9160000000002</v>
      </c>
      <c r="F17" s="111">
        <v>12448.692999999999</v>
      </c>
      <c r="G17" s="111">
        <v>17440.235000000001</v>
      </c>
      <c r="H17" s="111">
        <v>7836.0339999999997</v>
      </c>
      <c r="I17" s="111">
        <v>18586.651999999998</v>
      </c>
      <c r="J17" s="111">
        <v>54740.218000000001</v>
      </c>
    </row>
    <row r="18" spans="1:10" ht="15" customHeight="1" x14ac:dyDescent="0.2">
      <c r="A18" s="20"/>
      <c r="B18" s="115"/>
      <c r="C18" s="111"/>
      <c r="D18" s="111"/>
      <c r="E18" s="111"/>
      <c r="F18" s="111"/>
      <c r="G18" s="111"/>
      <c r="H18" s="111"/>
      <c r="I18" s="111"/>
      <c r="J18" s="111"/>
    </row>
    <row r="19" spans="1:10" ht="15" customHeight="1" x14ac:dyDescent="0.2">
      <c r="A19" s="20"/>
      <c r="B19" s="115">
        <v>2010</v>
      </c>
      <c r="C19" s="111">
        <v>63804.788999999997</v>
      </c>
      <c r="D19" s="111">
        <v>44495.01</v>
      </c>
      <c r="E19" s="111">
        <v>7846.9210000000003</v>
      </c>
      <c r="F19" s="111">
        <v>11462.858</v>
      </c>
      <c r="G19" s="111">
        <v>17805.001</v>
      </c>
      <c r="H19" s="111">
        <v>7640.9179999999997</v>
      </c>
      <c r="I19" s="111">
        <v>19111.376</v>
      </c>
      <c r="J19" s="111">
        <v>55248.120999999999</v>
      </c>
    </row>
    <row r="20" spans="1:10" ht="15" customHeight="1" x14ac:dyDescent="0.2">
      <c r="A20" s="20"/>
      <c r="B20" s="115">
        <v>2011</v>
      </c>
      <c r="C20" s="111">
        <v>66840.096999999994</v>
      </c>
      <c r="D20" s="111">
        <v>46092.733</v>
      </c>
      <c r="E20" s="111">
        <v>8605.3619999999992</v>
      </c>
      <c r="F20" s="111">
        <v>12142.002</v>
      </c>
      <c r="G20" s="111">
        <v>17794.165000000001</v>
      </c>
      <c r="H20" s="111">
        <v>8338.5059999999994</v>
      </c>
      <c r="I20" s="111">
        <v>19741.543000000001</v>
      </c>
      <c r="J20" s="111">
        <v>56933.353000000003</v>
      </c>
    </row>
    <row r="21" spans="1:10" ht="15" customHeight="1" x14ac:dyDescent="0.2">
      <c r="A21" s="20"/>
      <c r="B21" s="115">
        <v>2012</v>
      </c>
      <c r="C21" s="111">
        <v>68695.293000000005</v>
      </c>
      <c r="D21" s="111">
        <v>47747.034</v>
      </c>
      <c r="E21" s="111">
        <v>8408.8559999999998</v>
      </c>
      <c r="F21" s="111">
        <v>12539.403</v>
      </c>
      <c r="G21" s="111">
        <v>18086.605</v>
      </c>
      <c r="H21" s="111">
        <v>8417.8770000000004</v>
      </c>
      <c r="I21" s="111">
        <v>20166.739000000001</v>
      </c>
      <c r="J21" s="111">
        <v>58626.928999999996</v>
      </c>
    </row>
    <row r="22" spans="1:10" ht="15" customHeight="1" x14ac:dyDescent="0.2">
      <c r="A22" s="20"/>
      <c r="B22" s="115">
        <v>2013</v>
      </c>
      <c r="C22" s="111">
        <v>70009.616999999998</v>
      </c>
      <c r="D22" s="111">
        <v>49342.195</v>
      </c>
      <c r="E22" s="111">
        <v>8566.5300000000007</v>
      </c>
      <c r="F22" s="111">
        <v>12100.892</v>
      </c>
      <c r="G22" s="111">
        <v>18441.084999999999</v>
      </c>
      <c r="H22" s="111">
        <v>8816.1370000000006</v>
      </c>
      <c r="I22" s="111">
        <v>20546.477999999999</v>
      </c>
      <c r="J22" s="111">
        <v>59539.180999999997</v>
      </c>
    </row>
    <row r="23" spans="1:10" ht="15" customHeight="1" x14ac:dyDescent="0.2">
      <c r="A23" s="20"/>
      <c r="B23" s="115">
        <v>2014</v>
      </c>
      <c r="C23" s="111">
        <v>71434.441999999995</v>
      </c>
      <c r="D23" s="111">
        <v>50972.887999999999</v>
      </c>
      <c r="E23" s="111">
        <v>8668.6820000000007</v>
      </c>
      <c r="F23" s="111">
        <v>11792.871999999999</v>
      </c>
      <c r="G23" s="111">
        <v>19128.966</v>
      </c>
      <c r="H23" s="111">
        <v>9060.8639999999996</v>
      </c>
      <c r="I23" s="111">
        <v>21225.305</v>
      </c>
      <c r="J23" s="111">
        <v>60820.362999999998</v>
      </c>
    </row>
    <row r="24" spans="1:10" ht="15" customHeight="1" x14ac:dyDescent="0.2">
      <c r="A24" s="20"/>
      <c r="B24" s="115"/>
      <c r="C24" s="111"/>
      <c r="D24" s="111"/>
      <c r="E24" s="111"/>
      <c r="F24" s="111"/>
      <c r="G24" s="111"/>
      <c r="H24" s="111"/>
      <c r="I24" s="111"/>
      <c r="J24" s="111"/>
    </row>
    <row r="25" spans="1:10" ht="15" customHeight="1" x14ac:dyDescent="0.2">
      <c r="A25" s="20"/>
      <c r="B25" s="115">
        <v>2015</v>
      </c>
      <c r="C25" s="111">
        <v>74101.351999999999</v>
      </c>
      <c r="D25" s="111">
        <v>52912.815999999999</v>
      </c>
      <c r="E25" s="111">
        <v>8380.5460000000003</v>
      </c>
      <c r="F25" s="111">
        <v>12807.99</v>
      </c>
      <c r="G25" s="111">
        <v>19894.579000000002</v>
      </c>
      <c r="H25" s="111">
        <v>9548.6059999999998</v>
      </c>
      <c r="I25" s="111">
        <v>21905.735000000001</v>
      </c>
      <c r="J25" s="111">
        <v>63125.802000000003</v>
      </c>
    </row>
    <row r="26" spans="1:10" ht="15" customHeight="1" x14ac:dyDescent="0.2">
      <c r="A26" s="20"/>
      <c r="B26" s="115">
        <v>2016</v>
      </c>
      <c r="C26" s="111">
        <v>76011.87</v>
      </c>
      <c r="D26" s="111">
        <v>54933.857000000004</v>
      </c>
      <c r="E26" s="111">
        <v>8351.723</v>
      </c>
      <c r="F26" s="111">
        <v>12726.29</v>
      </c>
      <c r="G26" s="111">
        <v>20655.261999999999</v>
      </c>
      <c r="H26" s="111">
        <v>9984.9969999999994</v>
      </c>
      <c r="I26" s="111">
        <v>22683.115000000002</v>
      </c>
      <c r="J26" s="111">
        <v>64615.523999999998</v>
      </c>
    </row>
    <row r="27" spans="1:10" ht="15" customHeight="1" x14ac:dyDescent="0.2">
      <c r="A27" s="20"/>
      <c r="B27" s="115">
        <v>2017</v>
      </c>
      <c r="C27" s="111">
        <v>80243.129000000001</v>
      </c>
      <c r="D27" s="111">
        <v>57306.720000000001</v>
      </c>
      <c r="E27" s="111">
        <v>9054.9449999999997</v>
      </c>
      <c r="F27" s="111">
        <v>13881.464</v>
      </c>
      <c r="G27" s="111">
        <v>21478.405999999999</v>
      </c>
      <c r="H27" s="111">
        <v>10844.545</v>
      </c>
      <c r="I27" s="111">
        <v>23765</v>
      </c>
      <c r="J27" s="111">
        <v>67770.903999999995</v>
      </c>
    </row>
    <row r="28" spans="1:10" ht="15" customHeight="1" x14ac:dyDescent="0.2">
      <c r="A28" s="20"/>
      <c r="B28" s="115">
        <v>2018</v>
      </c>
      <c r="C28" s="111">
        <v>83112.108999999997</v>
      </c>
      <c r="D28" s="111">
        <v>60158.300999999999</v>
      </c>
      <c r="E28" s="111">
        <v>8503.8179999999993</v>
      </c>
      <c r="F28" s="111">
        <v>14449.99</v>
      </c>
      <c r="G28" s="111">
        <v>22228.179</v>
      </c>
      <c r="H28" s="111">
        <v>11192.379000000001</v>
      </c>
      <c r="I28" s="111">
        <v>24598.581999999999</v>
      </c>
      <c r="J28" s="111">
        <v>70253.995999999999</v>
      </c>
    </row>
    <row r="29" spans="1:10" ht="15" customHeight="1" x14ac:dyDescent="0.2">
      <c r="A29" s="20"/>
      <c r="B29" s="115">
        <v>2019</v>
      </c>
      <c r="C29" s="111">
        <v>85499.497000000003</v>
      </c>
      <c r="D29" s="111">
        <v>62916.381999999998</v>
      </c>
      <c r="E29" s="111">
        <v>9205.8050000000003</v>
      </c>
      <c r="F29" s="111">
        <v>13377.31</v>
      </c>
      <c r="G29" s="111">
        <v>23118.056</v>
      </c>
      <c r="H29" s="111">
        <v>11553.623</v>
      </c>
      <c r="I29" s="111">
        <v>25636.178</v>
      </c>
      <c r="J29" s="111">
        <v>72174.065000000002</v>
      </c>
    </row>
    <row r="30" spans="1:10" ht="15" customHeight="1" x14ac:dyDescent="0.2">
      <c r="A30" s="20"/>
      <c r="B30" s="115"/>
      <c r="C30" s="111"/>
      <c r="D30" s="111"/>
      <c r="E30" s="111"/>
      <c r="F30" s="111"/>
      <c r="G30" s="111"/>
      <c r="H30" s="111"/>
      <c r="I30" s="111"/>
      <c r="J30" s="111"/>
    </row>
    <row r="31" spans="1:10" ht="15" customHeight="1" x14ac:dyDescent="0.2">
      <c r="A31" s="20"/>
      <c r="B31" s="115">
        <v>2020</v>
      </c>
      <c r="C31" s="111">
        <v>84739.618000000002</v>
      </c>
      <c r="D31" s="111">
        <v>63425.870999999999</v>
      </c>
      <c r="E31" s="111">
        <v>9209.2389999999996</v>
      </c>
      <c r="F31" s="111">
        <v>12104.508</v>
      </c>
      <c r="G31" s="111">
        <v>24608.32</v>
      </c>
      <c r="H31" s="111">
        <v>11519.392</v>
      </c>
      <c r="I31" s="111">
        <v>25846.535</v>
      </c>
      <c r="J31" s="111">
        <v>72865.694000000003</v>
      </c>
    </row>
    <row r="32" spans="1:10" ht="15" customHeight="1" x14ac:dyDescent="0.2">
      <c r="A32" s="20"/>
      <c r="B32" s="115">
        <v>2021</v>
      </c>
      <c r="C32" s="111">
        <v>88349.653000000006</v>
      </c>
      <c r="D32" s="111">
        <v>66037.877999999997</v>
      </c>
      <c r="E32" s="111">
        <v>8529.9069999999992</v>
      </c>
      <c r="F32" s="111">
        <v>13781.868</v>
      </c>
      <c r="G32" s="111">
        <v>25248.045999999998</v>
      </c>
      <c r="H32" s="111">
        <v>11878.076999999999</v>
      </c>
      <c r="I32" s="111">
        <v>27220.859</v>
      </c>
      <c r="J32" s="111">
        <v>75462.027000000002</v>
      </c>
    </row>
    <row r="33" spans="1:11" ht="15" customHeight="1" x14ac:dyDescent="0.2">
      <c r="A33" s="20"/>
      <c r="B33" s="115">
        <v>2022</v>
      </c>
      <c r="C33" s="111">
        <v>96756.176999999996</v>
      </c>
      <c r="D33" s="111">
        <v>70387.058000000005</v>
      </c>
      <c r="E33" s="111">
        <v>8890.5120000000006</v>
      </c>
      <c r="F33" s="111">
        <v>17478.607</v>
      </c>
      <c r="G33" s="111">
        <v>25743.603999999999</v>
      </c>
      <c r="H33" s="111">
        <v>13157.304</v>
      </c>
      <c r="I33" s="111">
        <v>28961.276000000002</v>
      </c>
      <c r="J33" s="111">
        <v>82029.168999999994</v>
      </c>
    </row>
    <row r="34" spans="1:11" ht="15" customHeight="1" x14ac:dyDescent="0.2">
      <c r="A34" s="20"/>
      <c r="B34" s="115">
        <v>2023</v>
      </c>
      <c r="C34" s="111">
        <v>101908.436</v>
      </c>
      <c r="D34" s="111">
        <v>75167.705000000002</v>
      </c>
      <c r="E34" s="111">
        <v>9392.0280000000002</v>
      </c>
      <c r="F34" s="111">
        <v>17348.703000000001</v>
      </c>
      <c r="G34" s="111">
        <v>27258.376</v>
      </c>
      <c r="H34" s="111">
        <v>13171.74</v>
      </c>
      <c r="I34" s="111">
        <v>30077.440999999999</v>
      </c>
      <c r="J34" s="111">
        <v>86994.226999999999</v>
      </c>
    </row>
    <row r="35" spans="1:11" ht="15" customHeight="1" x14ac:dyDescent="0.2">
      <c r="A35" s="20"/>
      <c r="B35" s="115"/>
      <c r="C35" s="389" t="s">
        <v>8</v>
      </c>
      <c r="D35" s="389"/>
      <c r="E35" s="389"/>
      <c r="F35" s="389"/>
      <c r="G35" s="389"/>
      <c r="H35" s="389"/>
      <c r="I35" s="389"/>
      <c r="J35" s="389"/>
      <c r="K35" s="20"/>
    </row>
    <row r="36" spans="1:11" ht="15" customHeight="1" x14ac:dyDescent="0.2">
      <c r="A36" s="20"/>
      <c r="B36" s="115">
        <v>2001</v>
      </c>
      <c r="C36" s="363">
        <v>2.4866660246365058</v>
      </c>
      <c r="D36" s="363">
        <v>1.1172724122061908</v>
      </c>
      <c r="E36" s="363">
        <v>-2.1885832307378337</v>
      </c>
      <c r="F36" s="363">
        <v>15.533182506938601</v>
      </c>
      <c r="G36" s="363">
        <v>5.1605442038042924</v>
      </c>
      <c r="H36" s="363">
        <v>1.3763729679634764</v>
      </c>
      <c r="I36" s="363">
        <v>0.55221873599283811</v>
      </c>
      <c r="J36" s="363">
        <v>4.1578933247844674</v>
      </c>
    </row>
    <row r="37" spans="1:11" ht="15" customHeight="1" x14ac:dyDescent="0.2">
      <c r="A37" s="20"/>
      <c r="B37" s="115">
        <v>2002</v>
      </c>
      <c r="C37" s="363">
        <v>-0.15996662499748027</v>
      </c>
      <c r="D37" s="363">
        <v>0.68740608365443734</v>
      </c>
      <c r="E37" s="363">
        <v>-1.0995135308903627</v>
      </c>
      <c r="F37" s="363">
        <v>-3.4564826932012238</v>
      </c>
      <c r="G37" s="363">
        <v>4.5179130167453962</v>
      </c>
      <c r="H37" s="363">
        <v>-4.0179759132827968</v>
      </c>
      <c r="I37" s="363">
        <v>1.4729308877685412</v>
      </c>
      <c r="J37" s="363">
        <v>1.4116558051549646</v>
      </c>
    </row>
    <row r="38" spans="1:11" ht="15" customHeight="1" x14ac:dyDescent="0.2">
      <c r="A38" s="20"/>
      <c r="B38" s="115">
        <v>2003</v>
      </c>
      <c r="C38" s="363">
        <v>3.0327401463280523</v>
      </c>
      <c r="D38" s="363">
        <v>0.19382809263819922</v>
      </c>
      <c r="E38" s="363">
        <v>-0.38801881852934628</v>
      </c>
      <c r="F38" s="363">
        <v>21.059861532246089</v>
      </c>
      <c r="G38" s="363">
        <v>3.9550806230670617</v>
      </c>
      <c r="H38" s="363">
        <v>-2.8599798150259375</v>
      </c>
      <c r="I38" s="363">
        <v>2.5236354427830463</v>
      </c>
      <c r="J38" s="363">
        <v>4.3346564438691502</v>
      </c>
    </row>
    <row r="39" spans="1:11" ht="15" customHeight="1" x14ac:dyDescent="0.2">
      <c r="A39" s="20"/>
      <c r="B39" s="115">
        <v>2004</v>
      </c>
      <c r="C39" s="363">
        <v>0.51009104304112896</v>
      </c>
      <c r="D39" s="363">
        <v>-0.3257460724065453</v>
      </c>
      <c r="E39" s="363">
        <v>1.002462530901056</v>
      </c>
      <c r="F39" s="363">
        <v>3.6859216236136803</v>
      </c>
      <c r="G39" s="363">
        <v>1.7706168109108944</v>
      </c>
      <c r="H39" s="363">
        <v>-1.7438951374770113</v>
      </c>
      <c r="I39" s="363">
        <v>0.11328386582239602</v>
      </c>
      <c r="J39" s="363">
        <v>1.3671696250114707</v>
      </c>
    </row>
    <row r="40" spans="1:11" ht="15" customHeight="1" x14ac:dyDescent="0.2">
      <c r="A40" s="20"/>
      <c r="B40" s="115">
        <v>2005</v>
      </c>
      <c r="C40" s="363">
        <v>2.2488249090598345</v>
      </c>
      <c r="D40" s="363">
        <v>0.23568675592309773</v>
      </c>
      <c r="E40" s="363">
        <v>2.9542313874422774</v>
      </c>
      <c r="F40" s="363">
        <v>9.968036541490676</v>
      </c>
      <c r="G40" s="363">
        <v>0.51967515725732483</v>
      </c>
      <c r="H40" s="363">
        <v>-2.5935593195508346</v>
      </c>
      <c r="I40" s="363">
        <v>0.41631260617640464</v>
      </c>
      <c r="J40" s="363">
        <v>3.0947771515034788</v>
      </c>
    </row>
    <row r="41" spans="1:11" ht="15" customHeight="1" x14ac:dyDescent="0.2">
      <c r="A41" s="20"/>
      <c r="B41" s="115"/>
      <c r="C41" s="363"/>
      <c r="D41" s="363"/>
      <c r="E41" s="363"/>
      <c r="F41" s="363"/>
      <c r="G41" s="363"/>
      <c r="H41" s="363"/>
      <c r="I41" s="363"/>
      <c r="J41" s="363"/>
    </row>
    <row r="42" spans="1:11" ht="15" customHeight="1" x14ac:dyDescent="0.2">
      <c r="A42" s="20"/>
      <c r="B42" s="115">
        <v>2006</v>
      </c>
      <c r="C42" s="363">
        <v>2.4217488573286658</v>
      </c>
      <c r="D42" s="363">
        <v>1.2722275394924907</v>
      </c>
      <c r="E42" s="363">
        <v>3.9221729164904104</v>
      </c>
      <c r="F42" s="363">
        <v>5.6223568115328959</v>
      </c>
      <c r="G42" s="363">
        <v>0.21799834424004416</v>
      </c>
      <c r="H42" s="363">
        <v>7.2447208915827588</v>
      </c>
      <c r="I42" s="363">
        <v>2.2063384506896</v>
      </c>
      <c r="J42" s="363">
        <v>1.2453152553994045</v>
      </c>
    </row>
    <row r="43" spans="1:11" ht="15" customHeight="1" x14ac:dyDescent="0.2">
      <c r="A43" s="20"/>
      <c r="B43" s="115">
        <v>2007</v>
      </c>
      <c r="C43" s="363">
        <v>3.22424385401726</v>
      </c>
      <c r="D43" s="363">
        <v>2.8944050049461083</v>
      </c>
      <c r="E43" s="363">
        <v>1.0835651750208086</v>
      </c>
      <c r="F43" s="363">
        <v>5.9618752237944506</v>
      </c>
      <c r="G43" s="363">
        <v>-0.81321982296638851</v>
      </c>
      <c r="H43" s="363">
        <v>6.9244983323640525</v>
      </c>
      <c r="I43" s="363">
        <v>1.1237813368928897</v>
      </c>
      <c r="J43" s="363">
        <v>2.2670549600585161</v>
      </c>
    </row>
    <row r="44" spans="1:11" ht="15" customHeight="1" x14ac:dyDescent="0.2">
      <c r="A44" s="20"/>
      <c r="B44" s="115">
        <v>2008</v>
      </c>
      <c r="C44" s="363">
        <v>2.5825994618050885</v>
      </c>
      <c r="D44" s="363">
        <v>2.8675319016960401</v>
      </c>
      <c r="E44" s="363">
        <v>6.5275358952579836</v>
      </c>
      <c r="F44" s="363">
        <v>-1.1410835556951895</v>
      </c>
      <c r="G44" s="363">
        <v>2.1123622424987047</v>
      </c>
      <c r="H44" s="363">
        <v>9.2697917553303739</v>
      </c>
      <c r="I44" s="363">
        <v>2.23440164993184</v>
      </c>
      <c r="J44" s="363">
        <v>1.6656074348879883</v>
      </c>
    </row>
    <row r="45" spans="1:11" ht="15" customHeight="1" x14ac:dyDescent="0.2">
      <c r="A45" s="20"/>
      <c r="B45" s="115">
        <v>2009</v>
      </c>
      <c r="C45" s="363">
        <v>0.28665815906568071</v>
      </c>
      <c r="D45" s="363">
        <v>2.0476211113701197</v>
      </c>
      <c r="E45" s="363">
        <v>-15.750165610737852</v>
      </c>
      <c r="F45" s="363">
        <v>5.8525965604582808</v>
      </c>
      <c r="G45" s="363">
        <v>7.9097191439904577</v>
      </c>
      <c r="H45" s="363">
        <v>-2.0227414783223878</v>
      </c>
      <c r="I45" s="363">
        <v>6.3463168251525417</v>
      </c>
      <c r="J45" s="363">
        <v>1.2024462940963474</v>
      </c>
    </row>
    <row r="46" spans="1:11" ht="15" customHeight="1" x14ac:dyDescent="0.2">
      <c r="A46" s="20"/>
      <c r="B46" s="115">
        <v>2010</v>
      </c>
      <c r="C46" s="363">
        <v>0.64223698218604852</v>
      </c>
      <c r="D46" s="363">
        <v>2.1441028339627621</v>
      </c>
      <c r="E46" s="363">
        <v>6.2129157938449708</v>
      </c>
      <c r="F46" s="363">
        <v>-7.9191847690355814</v>
      </c>
      <c r="G46" s="363">
        <v>2.091519982385563</v>
      </c>
      <c r="H46" s="363">
        <v>-2.4899840914421816</v>
      </c>
      <c r="I46" s="363">
        <v>2.8231227442145155</v>
      </c>
      <c r="J46" s="363">
        <v>0.92784248685308057</v>
      </c>
    </row>
    <row r="47" spans="1:11" ht="15" customHeight="1" x14ac:dyDescent="0.2">
      <c r="A47" s="20"/>
      <c r="B47" s="115"/>
      <c r="C47" s="363"/>
      <c r="D47" s="363"/>
      <c r="E47" s="363"/>
      <c r="F47" s="363"/>
      <c r="G47" s="363"/>
      <c r="H47" s="363"/>
      <c r="I47" s="363"/>
      <c r="J47" s="363"/>
    </row>
    <row r="48" spans="1:11" ht="15" customHeight="1" x14ac:dyDescent="0.2">
      <c r="A48" s="20"/>
      <c r="B48" s="115">
        <v>2011</v>
      </c>
      <c r="C48" s="363">
        <v>4.7571789634787365</v>
      </c>
      <c r="D48" s="363">
        <v>3.5907914168352733</v>
      </c>
      <c r="E48" s="363">
        <v>9.6654598663603082</v>
      </c>
      <c r="F48" s="363">
        <v>5.9247353495960482</v>
      </c>
      <c r="G48" s="363">
        <v>-6.0859305764708438E-2</v>
      </c>
      <c r="H48" s="363">
        <v>9.1296359939996705</v>
      </c>
      <c r="I48" s="363">
        <v>3.2973397624535323</v>
      </c>
      <c r="J48" s="363">
        <v>3.0502974028745911</v>
      </c>
    </row>
    <row r="49" spans="1:11" ht="15" customHeight="1" x14ac:dyDescent="0.2">
      <c r="A49" s="20"/>
      <c r="B49" s="115">
        <v>2012</v>
      </c>
      <c r="C49" s="363">
        <v>2.7755734705172728</v>
      </c>
      <c r="D49" s="363">
        <v>3.5890711882934028</v>
      </c>
      <c r="E49" s="363">
        <v>-2.2835297341355272</v>
      </c>
      <c r="F49" s="363">
        <v>3.2729446099580599</v>
      </c>
      <c r="G49" s="363">
        <v>1.6434600893045541</v>
      </c>
      <c r="H49" s="363">
        <v>0.95186116074032157</v>
      </c>
      <c r="I49" s="363">
        <v>2.1538134075943276</v>
      </c>
      <c r="J49" s="363">
        <v>2.9746640778385114</v>
      </c>
    </row>
    <row r="50" spans="1:11" ht="15" customHeight="1" x14ac:dyDescent="0.2">
      <c r="A50" s="20"/>
      <c r="B50" s="115">
        <v>2013</v>
      </c>
      <c r="C50" s="363">
        <v>1.9132664591735562</v>
      </c>
      <c r="D50" s="363">
        <v>3.3408588269587653</v>
      </c>
      <c r="E50" s="363">
        <v>1.8750945431816319</v>
      </c>
      <c r="F50" s="363">
        <v>-3.4970644136726463</v>
      </c>
      <c r="G50" s="363">
        <v>1.9599034755278808</v>
      </c>
      <c r="H50" s="363">
        <v>4.7311216355382726</v>
      </c>
      <c r="I50" s="363">
        <v>1.8829965518966532</v>
      </c>
      <c r="J50" s="363">
        <v>1.5560289709188027</v>
      </c>
    </row>
    <row r="51" spans="1:11" ht="15" customHeight="1" x14ac:dyDescent="0.2">
      <c r="A51" s="20"/>
      <c r="B51" s="115">
        <v>2014</v>
      </c>
      <c r="C51" s="363">
        <v>2.0351846804132521</v>
      </c>
      <c r="D51" s="363">
        <v>3.3048651362186092</v>
      </c>
      <c r="E51" s="363">
        <v>1.1924548212636807</v>
      </c>
      <c r="F51" s="363">
        <v>-2.5454321879742423</v>
      </c>
      <c r="G51" s="363">
        <v>3.7301547061900209</v>
      </c>
      <c r="H51" s="363">
        <v>2.7758983327958475</v>
      </c>
      <c r="I51" s="363">
        <v>3.3038606421986287</v>
      </c>
      <c r="J51" s="363">
        <v>2.1518300696813384</v>
      </c>
    </row>
    <row r="52" spans="1:11" ht="15" customHeight="1" x14ac:dyDescent="0.2">
      <c r="A52" s="20"/>
      <c r="B52" s="115">
        <v>2015</v>
      </c>
      <c r="C52" s="363">
        <v>3.7333671620197038</v>
      </c>
      <c r="D52" s="363">
        <v>3.8058035871932532</v>
      </c>
      <c r="E52" s="363">
        <v>-3.3238732254799572</v>
      </c>
      <c r="F52" s="363">
        <v>8.6078946672193268</v>
      </c>
      <c r="G52" s="363">
        <v>4.0023752460012787</v>
      </c>
      <c r="H52" s="363">
        <v>5.3829524425043758</v>
      </c>
      <c r="I52" s="363">
        <v>3.2057489868814599</v>
      </c>
      <c r="J52" s="363">
        <v>3.7905709309890199</v>
      </c>
    </row>
    <row r="53" spans="1:11" ht="15" customHeight="1" x14ac:dyDescent="0.2">
      <c r="A53" s="20"/>
      <c r="B53" s="115"/>
      <c r="C53" s="363"/>
      <c r="D53" s="363"/>
      <c r="E53" s="363"/>
      <c r="F53" s="363"/>
      <c r="G53" s="363"/>
      <c r="H53" s="363"/>
      <c r="I53" s="363"/>
      <c r="J53" s="363"/>
    </row>
    <row r="54" spans="1:11" ht="15" customHeight="1" x14ac:dyDescent="0.2">
      <c r="A54" s="20"/>
      <c r="B54" s="115">
        <v>2016</v>
      </c>
      <c r="C54" s="363">
        <v>2.5782498543346435</v>
      </c>
      <c r="D54" s="363">
        <v>3.8195680229908788</v>
      </c>
      <c r="E54" s="363">
        <v>-0.34392747202866758</v>
      </c>
      <c r="F54" s="363">
        <v>-0.63788307142650069</v>
      </c>
      <c r="G54" s="363">
        <v>3.8235692245611119</v>
      </c>
      <c r="H54" s="363">
        <v>4.570206373579552</v>
      </c>
      <c r="I54" s="363">
        <v>3.5487510462442771</v>
      </c>
      <c r="J54" s="363">
        <v>2.3599256608256525</v>
      </c>
    </row>
    <row r="55" spans="1:11" ht="15" customHeight="1" x14ac:dyDescent="0.2">
      <c r="A55" s="20"/>
      <c r="B55" s="115">
        <v>2017</v>
      </c>
      <c r="C55" s="363">
        <v>5.5665766412535476</v>
      </c>
      <c r="D55" s="363">
        <v>4.319490983493111</v>
      </c>
      <c r="E55" s="363">
        <v>8.4200828978643045</v>
      </c>
      <c r="F55" s="363">
        <v>9.0770680221808391</v>
      </c>
      <c r="G55" s="363">
        <v>3.9851540009514395</v>
      </c>
      <c r="H55" s="363">
        <v>8.6083951752814869</v>
      </c>
      <c r="I55" s="363">
        <v>4.7695609707925826</v>
      </c>
      <c r="J55" s="363">
        <v>4.8833156564666922</v>
      </c>
    </row>
    <row r="56" spans="1:11" ht="15" customHeight="1" x14ac:dyDescent="0.2">
      <c r="A56" s="20"/>
      <c r="B56" s="115">
        <v>2018</v>
      </c>
      <c r="C56" s="363">
        <v>3.5753590815233451</v>
      </c>
      <c r="D56" s="363">
        <v>4.9759975793414668</v>
      </c>
      <c r="E56" s="363">
        <v>-6.0864754010101763</v>
      </c>
      <c r="F56" s="363">
        <v>4.0955766625191643</v>
      </c>
      <c r="G56" s="363">
        <v>3.4908223636334981</v>
      </c>
      <c r="H56" s="363">
        <v>3.2074559144712964</v>
      </c>
      <c r="I56" s="363">
        <v>3.507603618767078</v>
      </c>
      <c r="J56" s="363">
        <v>3.6639499452449371</v>
      </c>
    </row>
    <row r="57" spans="1:11" ht="15" customHeight="1" x14ac:dyDescent="0.2">
      <c r="A57" s="20"/>
      <c r="B57" s="115">
        <v>2019</v>
      </c>
      <c r="C57" s="363">
        <v>2.872491179353915</v>
      </c>
      <c r="D57" s="363">
        <v>4.5847056086241622</v>
      </c>
      <c r="E57" s="363">
        <v>8.2549626532458831</v>
      </c>
      <c r="F57" s="363">
        <v>-7.4233961407585696</v>
      </c>
      <c r="G57" s="363">
        <v>4.0033733757497743</v>
      </c>
      <c r="H57" s="363">
        <v>3.2275890585906666</v>
      </c>
      <c r="I57" s="363">
        <v>4.2181130603381973</v>
      </c>
      <c r="J57" s="363">
        <v>2.733038843797587</v>
      </c>
    </row>
    <row r="58" spans="1:11" ht="15" customHeight="1" x14ac:dyDescent="0.2">
      <c r="A58" s="20"/>
      <c r="B58" s="115">
        <v>2020</v>
      </c>
      <c r="C58" s="363">
        <v>-0.88875259698895093</v>
      </c>
      <c r="D58" s="363">
        <v>0.80978750494584517</v>
      </c>
      <c r="E58" s="363">
        <v>3.7302549858466705E-2</v>
      </c>
      <c r="F58" s="363">
        <v>-9.5146333605186584</v>
      </c>
      <c r="G58" s="363">
        <v>6.4463205729755089</v>
      </c>
      <c r="H58" s="363">
        <v>-0.29627935756602142</v>
      </c>
      <c r="I58" s="363">
        <v>0.82054743105622663</v>
      </c>
      <c r="J58" s="363">
        <v>0.95827912699665774</v>
      </c>
    </row>
    <row r="59" spans="1:11" ht="15" customHeight="1" x14ac:dyDescent="0.2">
      <c r="A59" s="20"/>
      <c r="B59" s="115"/>
      <c r="C59" s="363"/>
      <c r="D59" s="363"/>
      <c r="E59" s="363"/>
      <c r="F59" s="363"/>
      <c r="G59" s="363"/>
      <c r="H59" s="363"/>
      <c r="I59" s="363"/>
      <c r="J59" s="363"/>
    </row>
    <row r="60" spans="1:11" ht="15" customHeight="1" x14ac:dyDescent="0.2">
      <c r="A60" s="20"/>
      <c r="B60" s="115">
        <v>2021</v>
      </c>
      <c r="C60" s="363">
        <v>4.2601501932661563</v>
      </c>
      <c r="D60" s="363">
        <v>4.1182043838231266</v>
      </c>
      <c r="E60" s="363">
        <v>-7.3766355721683396</v>
      </c>
      <c r="F60" s="363">
        <v>13.857316629473914</v>
      </c>
      <c r="G60" s="363">
        <v>2.5996329696622809</v>
      </c>
      <c r="H60" s="363">
        <v>3.113749406218659</v>
      </c>
      <c r="I60" s="363">
        <v>5.3172465864379888</v>
      </c>
      <c r="J60" s="363">
        <v>3.5631761086362559</v>
      </c>
    </row>
    <row r="61" spans="1:11" ht="15" customHeight="1" x14ac:dyDescent="0.2">
      <c r="A61" s="20"/>
      <c r="B61" s="115">
        <v>2022</v>
      </c>
      <c r="C61" s="363">
        <v>9.5150617060148335</v>
      </c>
      <c r="D61" s="363">
        <v>6.5858869662650505</v>
      </c>
      <c r="E61" s="363">
        <v>4.227537299058497</v>
      </c>
      <c r="F61" s="363">
        <v>26.823207129831744</v>
      </c>
      <c r="G61" s="363">
        <v>1.9627578308436284</v>
      </c>
      <c r="H61" s="363">
        <v>10.769647309071999</v>
      </c>
      <c r="I61" s="363">
        <v>6.3936887517032517</v>
      </c>
      <c r="J61" s="363">
        <v>8.7025783179664558</v>
      </c>
    </row>
    <row r="62" spans="1:11" ht="15" customHeight="1" x14ac:dyDescent="0.2">
      <c r="A62" s="20"/>
      <c r="B62" s="115">
        <v>2023</v>
      </c>
      <c r="C62" s="363">
        <v>5.324992325812957</v>
      </c>
      <c r="D62" s="363">
        <v>6.7919403592631937</v>
      </c>
      <c r="E62" s="363">
        <v>5.6410249488443327</v>
      </c>
      <c r="F62" s="363">
        <v>-0.74321712250866767</v>
      </c>
      <c r="G62" s="363">
        <v>5.8840712434824667</v>
      </c>
      <c r="H62" s="363">
        <v>0.1097185259229434</v>
      </c>
      <c r="I62" s="363">
        <v>3.8539911017732749</v>
      </c>
      <c r="J62" s="363">
        <v>6.0527956829600384</v>
      </c>
    </row>
    <row r="63" spans="1:11" ht="15" customHeight="1" x14ac:dyDescent="0.2">
      <c r="A63" s="20"/>
      <c r="B63" s="115"/>
      <c r="C63" s="389" t="s">
        <v>25</v>
      </c>
      <c r="D63" s="389"/>
      <c r="E63" s="389"/>
      <c r="F63" s="389"/>
      <c r="G63" s="389"/>
      <c r="H63" s="389"/>
      <c r="I63" s="389"/>
      <c r="J63" s="389"/>
    </row>
    <row r="64" spans="1:11" ht="15" customHeight="1" x14ac:dyDescent="0.2">
      <c r="A64" s="20"/>
      <c r="B64" s="115">
        <v>2000</v>
      </c>
      <c r="C64" s="169">
        <v>100</v>
      </c>
      <c r="D64" s="168">
        <v>72.63081814957134</v>
      </c>
      <c r="E64" s="168">
        <v>14.53649187628328</v>
      </c>
      <c r="F64" s="168">
        <v>12.832689974145369</v>
      </c>
      <c r="G64" s="168" t="s">
        <v>37</v>
      </c>
      <c r="H64" s="168" t="s">
        <v>37</v>
      </c>
      <c r="I64" s="168" t="s">
        <v>37</v>
      </c>
      <c r="J64" s="168" t="s">
        <v>37</v>
      </c>
      <c r="K64" s="20"/>
    </row>
    <row r="65" spans="1:10" ht="15" customHeight="1" x14ac:dyDescent="0.2">
      <c r="B65" s="115">
        <v>2001</v>
      </c>
      <c r="C65" s="169">
        <v>100</v>
      </c>
      <c r="D65" s="168">
        <v>71.660348699275232</v>
      </c>
      <c r="E65" s="168">
        <v>13.873364413399363</v>
      </c>
      <c r="F65" s="168">
        <v>14.466286887325413</v>
      </c>
      <c r="G65" s="168" t="s">
        <v>37</v>
      </c>
      <c r="H65" s="168" t="s">
        <v>37</v>
      </c>
      <c r="I65" s="168" t="s">
        <v>37</v>
      </c>
      <c r="J65" s="168" t="s">
        <v>37</v>
      </c>
    </row>
    <row r="66" spans="1:10" ht="15" customHeight="1" x14ac:dyDescent="0.2">
      <c r="B66" s="115">
        <v>2002</v>
      </c>
      <c r="C66" s="169">
        <v>100</v>
      </c>
      <c r="D66" s="168">
        <v>72.26855185914566</v>
      </c>
      <c r="E66" s="168">
        <v>13.742808801904573</v>
      </c>
      <c r="F66" s="168">
        <v>13.98863933894976</v>
      </c>
      <c r="G66" s="168" t="s">
        <v>37</v>
      </c>
      <c r="H66" s="168" t="s">
        <v>37</v>
      </c>
      <c r="I66" s="168" t="s">
        <v>37</v>
      </c>
      <c r="J66" s="168" t="s">
        <v>37</v>
      </c>
    </row>
    <row r="67" spans="1:10" ht="15" customHeight="1" x14ac:dyDescent="0.2">
      <c r="B67" s="115">
        <v>2003</v>
      </c>
      <c r="C67" s="169">
        <v>100</v>
      </c>
      <c r="D67" s="168">
        <v>70.27730070262723</v>
      </c>
      <c r="E67" s="168">
        <v>13.286537947177512</v>
      </c>
      <c r="F67" s="168">
        <v>16.43616135019526</v>
      </c>
      <c r="G67" s="168" t="s">
        <v>37</v>
      </c>
      <c r="H67" s="168" t="s">
        <v>37</v>
      </c>
      <c r="I67" s="168" t="s">
        <v>37</v>
      </c>
      <c r="J67" s="168" t="s">
        <v>37</v>
      </c>
    </row>
    <row r="68" spans="1:10" ht="15" customHeight="1" x14ac:dyDescent="0.2">
      <c r="B68" s="115">
        <v>2004</v>
      </c>
      <c r="C68" s="169">
        <v>100</v>
      </c>
      <c r="D68" s="168">
        <v>69.692878027340029</v>
      </c>
      <c r="E68" s="168">
        <v>13.351625068178702</v>
      </c>
      <c r="F68" s="168">
        <v>16.955496904481265</v>
      </c>
      <c r="G68" s="168" t="s">
        <v>37</v>
      </c>
      <c r="H68" s="168" t="s">
        <v>37</v>
      </c>
      <c r="I68" s="168" t="s">
        <v>37</v>
      </c>
      <c r="J68" s="168" t="s">
        <v>37</v>
      </c>
    </row>
    <row r="69" spans="1:10" ht="15" customHeight="1" x14ac:dyDescent="0.2">
      <c r="B69" s="115"/>
      <c r="C69" s="169"/>
      <c r="D69" s="168"/>
      <c r="E69" s="168"/>
      <c r="F69" s="168"/>
      <c r="G69" s="168"/>
      <c r="H69" s="168"/>
      <c r="I69" s="168"/>
      <c r="J69" s="168"/>
    </row>
    <row r="70" spans="1:10" ht="15" customHeight="1" x14ac:dyDescent="0.2">
      <c r="B70" s="115">
        <v>2005</v>
      </c>
      <c r="C70" s="169">
        <v>100.00000000000001</v>
      </c>
      <c r="D70" s="168">
        <v>68.320721507365093</v>
      </c>
      <c r="E70" s="168">
        <v>13.443736863384206</v>
      </c>
      <c r="F70" s="168">
        <v>18.235541629250715</v>
      </c>
      <c r="G70" s="168" t="s">
        <v>37</v>
      </c>
      <c r="H70" s="168" t="s">
        <v>37</v>
      </c>
      <c r="I70" s="168" t="s">
        <v>37</v>
      </c>
      <c r="J70" s="168" t="s">
        <v>37</v>
      </c>
    </row>
    <row r="71" spans="1:10" ht="15" customHeight="1" x14ac:dyDescent="0.2">
      <c r="B71" s="115">
        <v>2006</v>
      </c>
      <c r="C71" s="169">
        <v>100</v>
      </c>
      <c r="D71" s="168">
        <v>67.553930013382072</v>
      </c>
      <c r="E71" s="168">
        <v>13.640680446753002</v>
      </c>
      <c r="F71" s="168">
        <v>18.805389539864926</v>
      </c>
      <c r="G71" s="168" t="s">
        <v>37</v>
      </c>
      <c r="H71" s="168" t="s">
        <v>37</v>
      </c>
      <c r="I71" s="168" t="s">
        <v>37</v>
      </c>
      <c r="J71" s="168" t="s">
        <v>37</v>
      </c>
    </row>
    <row r="72" spans="1:10" ht="15" customHeight="1" x14ac:dyDescent="0.2">
      <c r="B72" s="115">
        <v>2007</v>
      </c>
      <c r="C72" s="169">
        <v>100</v>
      </c>
      <c r="D72" s="168">
        <v>67.3380707375577</v>
      </c>
      <c r="E72" s="168">
        <v>13.357798124644024</v>
      </c>
      <c r="F72" s="168">
        <v>19.304131137798272</v>
      </c>
      <c r="G72" s="168" t="s">
        <v>37</v>
      </c>
      <c r="H72" s="168" t="s">
        <v>37</v>
      </c>
      <c r="I72" s="168" t="s">
        <v>37</v>
      </c>
      <c r="J72" s="168" t="s">
        <v>37</v>
      </c>
    </row>
    <row r="73" spans="1:10" ht="15" customHeight="1" x14ac:dyDescent="0.2">
      <c r="B73" s="115">
        <v>2008</v>
      </c>
      <c r="C73" s="169">
        <v>100</v>
      </c>
      <c r="D73" s="168">
        <v>67.525108314042058</v>
      </c>
      <c r="E73" s="168">
        <v>13.871488212135295</v>
      </c>
      <c r="F73" s="168">
        <v>18.603403473822645</v>
      </c>
      <c r="G73" s="168" t="s">
        <v>37</v>
      </c>
      <c r="H73" s="168" t="s">
        <v>37</v>
      </c>
      <c r="I73" s="168" t="s">
        <v>37</v>
      </c>
      <c r="J73" s="168" t="s">
        <v>37</v>
      </c>
    </row>
    <row r="74" spans="1:10" ht="15" customHeight="1" x14ac:dyDescent="0.2">
      <c r="B74" s="115">
        <v>2009</v>
      </c>
      <c r="C74" s="169">
        <v>100</v>
      </c>
      <c r="D74" s="168">
        <v>68.710801568500372</v>
      </c>
      <c r="E74" s="168">
        <v>11.653300708767866</v>
      </c>
      <c r="F74" s="168">
        <v>19.635897722731762</v>
      </c>
      <c r="G74" s="168" t="s">
        <v>37</v>
      </c>
      <c r="H74" s="168" t="s">
        <v>37</v>
      </c>
      <c r="I74" s="168" t="s">
        <v>37</v>
      </c>
      <c r="J74" s="168" t="s">
        <v>37</v>
      </c>
    </row>
    <row r="75" spans="1:10" ht="15" customHeight="1" x14ac:dyDescent="0.2">
      <c r="B75" s="115"/>
      <c r="C75" s="169"/>
      <c r="D75" s="168"/>
      <c r="E75" s="168"/>
      <c r="F75" s="168"/>
      <c r="G75" s="168"/>
      <c r="H75" s="168"/>
      <c r="I75" s="168"/>
      <c r="J75" s="168"/>
    </row>
    <row r="76" spans="1:10" ht="15" customHeight="1" x14ac:dyDescent="0.2">
      <c r="B76" s="115">
        <v>2010</v>
      </c>
      <c r="C76" s="169">
        <v>100</v>
      </c>
      <c r="D76" s="168">
        <v>69.736160400122941</v>
      </c>
      <c r="E76" s="168">
        <v>12.298326070790706</v>
      </c>
      <c r="F76" s="168">
        <v>17.965513529086351</v>
      </c>
      <c r="G76" s="168" t="s">
        <v>37</v>
      </c>
      <c r="H76" s="168" t="s">
        <v>37</v>
      </c>
      <c r="I76" s="168" t="s">
        <v>37</v>
      </c>
      <c r="J76" s="168" t="s">
        <v>37</v>
      </c>
    </row>
    <row r="77" spans="1:10" ht="15" customHeight="1" x14ac:dyDescent="0.2">
      <c r="B77" s="115">
        <v>2011</v>
      </c>
      <c r="C77" s="169">
        <v>100</v>
      </c>
      <c r="D77" s="168">
        <v>68.959703933403929</v>
      </c>
      <c r="E77" s="168">
        <v>12.87455043639449</v>
      </c>
      <c r="F77" s="168">
        <v>18.165745630201585</v>
      </c>
      <c r="G77" s="168" t="s">
        <v>37</v>
      </c>
      <c r="H77" s="168" t="s">
        <v>37</v>
      </c>
      <c r="I77" s="168" t="s">
        <v>37</v>
      </c>
      <c r="J77" s="168" t="s">
        <v>37</v>
      </c>
    </row>
    <row r="78" spans="1:10" ht="15" customHeight="1" x14ac:dyDescent="0.2">
      <c r="B78" s="115">
        <v>2012</v>
      </c>
      <c r="C78" s="169">
        <v>100</v>
      </c>
      <c r="D78" s="168">
        <v>69.505539484342833</v>
      </c>
      <c r="E78" s="168">
        <v>12.240803747645415</v>
      </c>
      <c r="F78" s="168">
        <v>18.253656768011748</v>
      </c>
      <c r="G78" s="168" t="s">
        <v>37</v>
      </c>
      <c r="H78" s="168" t="s">
        <v>37</v>
      </c>
      <c r="I78" s="168" t="s">
        <v>37</v>
      </c>
      <c r="J78" s="168" t="s">
        <v>37</v>
      </c>
    </row>
    <row r="79" spans="1:10" ht="15" customHeight="1" x14ac:dyDescent="0.2">
      <c r="B79" s="115">
        <v>2013</v>
      </c>
      <c r="C79" s="169">
        <v>100</v>
      </c>
      <c r="D79" s="168">
        <v>70.479167169276195</v>
      </c>
      <c r="E79" s="168">
        <v>12.236218918323752</v>
      </c>
      <c r="F79" s="168">
        <v>17.284613912400065</v>
      </c>
      <c r="G79" s="168" t="s">
        <v>37</v>
      </c>
      <c r="H79" s="168" t="s">
        <v>37</v>
      </c>
      <c r="I79" s="168" t="s">
        <v>37</v>
      </c>
      <c r="J79" s="168" t="s">
        <v>37</v>
      </c>
    </row>
    <row r="80" spans="1:10" ht="15" customHeight="1" x14ac:dyDescent="0.2">
      <c r="A80" s="20"/>
      <c r="B80" s="115">
        <v>2014</v>
      </c>
      <c r="C80" s="169">
        <v>100</v>
      </c>
      <c r="D80" s="168">
        <v>71.356178578395003</v>
      </c>
      <c r="E80" s="168">
        <v>12.135157435680679</v>
      </c>
      <c r="F80" s="168">
        <v>16.508663985924326</v>
      </c>
      <c r="G80" s="168" t="s">
        <v>37</v>
      </c>
      <c r="H80" s="168" t="s">
        <v>37</v>
      </c>
      <c r="I80" s="168" t="s">
        <v>37</v>
      </c>
      <c r="J80" s="168" t="s">
        <v>37</v>
      </c>
    </row>
    <row r="81" spans="1:11" ht="15" customHeight="1" x14ac:dyDescent="0.2">
      <c r="A81" s="20"/>
      <c r="B81" s="115"/>
      <c r="C81" s="169"/>
      <c r="D81" s="168"/>
      <c r="E81" s="168"/>
      <c r="F81" s="168"/>
      <c r="G81" s="168"/>
      <c r="H81" s="168"/>
      <c r="I81" s="168"/>
      <c r="J81" s="168"/>
    </row>
    <row r="82" spans="1:11" ht="15" customHeight="1" x14ac:dyDescent="0.2">
      <c r="A82" s="20"/>
      <c r="B82" s="115">
        <v>2015</v>
      </c>
      <c r="C82" s="169">
        <v>100</v>
      </c>
      <c r="D82" s="168">
        <v>71.406006195406519</v>
      </c>
      <c r="E82" s="168">
        <v>11.309572327371301</v>
      </c>
      <c r="F82" s="168">
        <v>17.284421477222171</v>
      </c>
      <c r="G82" s="168" t="s">
        <v>37</v>
      </c>
      <c r="H82" s="168" t="s">
        <v>37</v>
      </c>
      <c r="I82" s="168" t="s">
        <v>37</v>
      </c>
      <c r="J82" s="168" t="s">
        <v>37</v>
      </c>
    </row>
    <row r="83" spans="1:11" ht="15" customHeight="1" x14ac:dyDescent="0.2">
      <c r="A83" s="20"/>
      <c r="B83" s="115">
        <v>2016</v>
      </c>
      <c r="C83" s="169">
        <v>100</v>
      </c>
      <c r="D83" s="168">
        <v>72.270103340438808</v>
      </c>
      <c r="E83" s="168">
        <v>10.987393153200943</v>
      </c>
      <c r="F83" s="168">
        <v>16.742503506360258</v>
      </c>
      <c r="G83" s="168" t="s">
        <v>37</v>
      </c>
      <c r="H83" s="168" t="s">
        <v>37</v>
      </c>
      <c r="I83" s="168" t="s">
        <v>37</v>
      </c>
      <c r="J83" s="168" t="s">
        <v>37</v>
      </c>
    </row>
    <row r="84" spans="1:11" ht="15" customHeight="1" x14ac:dyDescent="0.2">
      <c r="A84" s="20"/>
      <c r="B84" s="115">
        <v>2017</v>
      </c>
      <c r="C84" s="169">
        <v>100</v>
      </c>
      <c r="D84" s="168">
        <v>71.416357654746989</v>
      </c>
      <c r="E84" s="168">
        <v>11.284386729236344</v>
      </c>
      <c r="F84" s="168">
        <v>17.299255616016666</v>
      </c>
      <c r="G84" s="168" t="s">
        <v>37</v>
      </c>
      <c r="H84" s="168" t="s">
        <v>37</v>
      </c>
      <c r="I84" s="168" t="s">
        <v>37</v>
      </c>
      <c r="J84" s="168" t="s">
        <v>37</v>
      </c>
    </row>
    <row r="85" spans="1:11" ht="15" customHeight="1" x14ac:dyDescent="0.2">
      <c r="A85" s="20"/>
      <c r="B85" s="115">
        <v>2018</v>
      </c>
      <c r="C85" s="169">
        <v>100</v>
      </c>
      <c r="D85" s="168">
        <v>72.38211341743235</v>
      </c>
      <c r="E85" s="168">
        <v>10.231743728221359</v>
      </c>
      <c r="F85" s="168">
        <v>17.386142854346289</v>
      </c>
      <c r="G85" s="168" t="s">
        <v>37</v>
      </c>
      <c r="H85" s="168" t="s">
        <v>37</v>
      </c>
      <c r="I85" s="168" t="s">
        <v>37</v>
      </c>
      <c r="J85" s="168" t="s">
        <v>37</v>
      </c>
    </row>
    <row r="86" spans="1:11" ht="15" customHeight="1" x14ac:dyDescent="0.2">
      <c r="A86" s="20"/>
      <c r="B86" s="115">
        <v>2019</v>
      </c>
      <c r="C86" s="169">
        <v>100</v>
      </c>
      <c r="D86" s="168">
        <v>73.586844610325599</v>
      </c>
      <c r="E86" s="168">
        <v>10.767086735024884</v>
      </c>
      <c r="F86" s="168">
        <v>15.646068654649511</v>
      </c>
      <c r="G86" s="168" t="s">
        <v>37</v>
      </c>
      <c r="H86" s="168" t="s">
        <v>37</v>
      </c>
      <c r="I86" s="168" t="s">
        <v>37</v>
      </c>
      <c r="J86" s="168" t="s">
        <v>37</v>
      </c>
    </row>
    <row r="87" spans="1:11" ht="15" customHeight="1" x14ac:dyDescent="0.2">
      <c r="A87" s="20"/>
      <c r="B87" s="115"/>
      <c r="C87" s="169"/>
      <c r="D87" s="168"/>
      <c r="E87" s="168"/>
      <c r="F87" s="168"/>
      <c r="G87" s="168"/>
      <c r="H87" s="168"/>
      <c r="I87" s="168"/>
      <c r="J87" s="168"/>
    </row>
    <row r="88" spans="1:11" ht="15" customHeight="1" x14ac:dyDescent="0.2">
      <c r="A88" s="20"/>
      <c r="B88" s="115">
        <v>2020</v>
      </c>
      <c r="C88" s="169">
        <v>100</v>
      </c>
      <c r="D88" s="168">
        <v>74.847954825569303</v>
      </c>
      <c r="E88" s="168">
        <v>10.867690010120176</v>
      </c>
      <c r="F88" s="168">
        <v>14.284355164310512</v>
      </c>
      <c r="G88" s="168" t="s">
        <v>37</v>
      </c>
      <c r="H88" s="168" t="s">
        <v>37</v>
      </c>
      <c r="I88" s="168" t="s">
        <v>37</v>
      </c>
      <c r="J88" s="168" t="s">
        <v>37</v>
      </c>
    </row>
    <row r="89" spans="1:11" ht="15" customHeight="1" x14ac:dyDescent="0.2">
      <c r="A89" s="20"/>
      <c r="B89" s="115">
        <v>2021</v>
      </c>
      <c r="C89" s="169">
        <v>100</v>
      </c>
      <c r="D89" s="168">
        <v>74.746052483081058</v>
      </c>
      <c r="E89" s="168">
        <v>9.654714772903521</v>
      </c>
      <c r="F89" s="168">
        <v>15.599232744015417</v>
      </c>
      <c r="G89" s="168" t="s">
        <v>37</v>
      </c>
      <c r="H89" s="168" t="s">
        <v>37</v>
      </c>
      <c r="I89" s="168" t="s">
        <v>37</v>
      </c>
      <c r="J89" s="168" t="s">
        <v>37</v>
      </c>
    </row>
    <row r="90" spans="1:11" ht="15" customHeight="1" x14ac:dyDescent="0.2">
      <c r="A90" s="20"/>
      <c r="B90" s="115">
        <v>2022</v>
      </c>
      <c r="C90" s="169">
        <v>100</v>
      </c>
      <c r="D90" s="168">
        <v>72.746836617986688</v>
      </c>
      <c r="E90" s="168">
        <v>9.1885730458325163</v>
      </c>
      <c r="F90" s="168">
        <v>18.06459033618081</v>
      </c>
      <c r="G90" s="168" t="s">
        <v>37</v>
      </c>
      <c r="H90" s="168" t="s">
        <v>37</v>
      </c>
      <c r="I90" s="168" t="s">
        <v>37</v>
      </c>
      <c r="J90" s="168" t="s">
        <v>37</v>
      </c>
    </row>
    <row r="91" spans="1:11" ht="15" customHeight="1" x14ac:dyDescent="0.2">
      <c r="A91" s="20"/>
      <c r="B91" s="115">
        <v>2023</v>
      </c>
      <c r="C91" s="169">
        <v>100</v>
      </c>
      <c r="D91" s="168">
        <v>73.760041808511318</v>
      </c>
      <c r="E91" s="168">
        <v>9.2161437940230968</v>
      </c>
      <c r="F91" s="168">
        <v>17.023814397465586</v>
      </c>
      <c r="G91" s="168" t="s">
        <v>37</v>
      </c>
      <c r="H91" s="168" t="s">
        <v>37</v>
      </c>
      <c r="I91" s="168" t="s">
        <v>37</v>
      </c>
      <c r="J91" s="168" t="s">
        <v>37</v>
      </c>
    </row>
    <row r="92" spans="1:11" ht="15" customHeight="1" x14ac:dyDescent="0.2">
      <c r="A92" s="20"/>
      <c r="B92" s="115"/>
      <c r="C92" s="389" t="s">
        <v>10</v>
      </c>
      <c r="D92" s="389"/>
      <c r="E92" s="389"/>
      <c r="F92" s="389"/>
      <c r="G92" s="389"/>
      <c r="H92" s="389"/>
      <c r="I92" s="389"/>
      <c r="J92" s="389"/>
    </row>
    <row r="93" spans="1:11" s="101" customFormat="1" ht="15" customHeight="1" x14ac:dyDescent="0.2">
      <c r="A93" s="175"/>
      <c r="B93" s="115">
        <v>2000</v>
      </c>
      <c r="C93" s="168">
        <v>3.4683589375615287</v>
      </c>
      <c r="D93" s="168">
        <v>3.452834180179384</v>
      </c>
      <c r="E93" s="168">
        <v>3.8150869575822619</v>
      </c>
      <c r="F93" s="168">
        <v>3.2188883604692364</v>
      </c>
      <c r="G93" s="168">
        <v>3.4811388691550094</v>
      </c>
      <c r="H93" s="168">
        <v>3.402841089944538</v>
      </c>
      <c r="I93" s="168">
        <v>3.5641158115852374</v>
      </c>
      <c r="J93" s="168">
        <v>3.4383517610710923</v>
      </c>
      <c r="K93" s="20"/>
    </row>
    <row r="94" spans="1:11" ht="15" customHeight="1" x14ac:dyDescent="0.2">
      <c r="A94" s="175"/>
      <c r="B94" s="115">
        <v>2001</v>
      </c>
      <c r="C94" s="168">
        <v>3.4579177438189959</v>
      </c>
      <c r="D94" s="168">
        <v>3.4387210506618855</v>
      </c>
      <c r="E94" s="168">
        <v>3.828716370097855</v>
      </c>
      <c r="F94" s="168">
        <v>3.2461891602599846</v>
      </c>
      <c r="G94" s="168">
        <v>3.5148526001987412</v>
      </c>
      <c r="H94" s="168">
        <v>3.456578362392237</v>
      </c>
      <c r="I94" s="168">
        <v>3.5694486511373871</v>
      </c>
      <c r="J94" s="168">
        <v>3.4268796255055056</v>
      </c>
    </row>
    <row r="95" spans="1:11" ht="15" customHeight="1" x14ac:dyDescent="0.2">
      <c r="A95" s="175"/>
      <c r="B95" s="115">
        <v>2002</v>
      </c>
      <c r="C95" s="168">
        <v>3.4581075155605698</v>
      </c>
      <c r="D95" s="168">
        <v>3.4370698711989522</v>
      </c>
      <c r="E95" s="168">
        <v>3.8021103577908337</v>
      </c>
      <c r="F95" s="168">
        <v>3.2708039366433193</v>
      </c>
      <c r="G95" s="168">
        <v>3.5356311470570874</v>
      </c>
      <c r="H95" s="168">
        <v>3.3939249980226212</v>
      </c>
      <c r="I95" s="168">
        <v>3.5690772823307015</v>
      </c>
      <c r="J95" s="168">
        <v>3.444621117322356</v>
      </c>
    </row>
    <row r="96" spans="1:11" ht="15" customHeight="1" x14ac:dyDescent="0.2">
      <c r="A96" s="175"/>
      <c r="B96" s="115">
        <v>2003</v>
      </c>
      <c r="C96" s="168">
        <v>3.4887391432719039</v>
      </c>
      <c r="D96" s="168">
        <v>3.4266260438678087</v>
      </c>
      <c r="E96" s="168">
        <v>3.8973613301957539</v>
      </c>
      <c r="F96" s="168">
        <v>3.4636304863957079</v>
      </c>
      <c r="G96" s="168">
        <v>3.5710294590005964</v>
      </c>
      <c r="H96" s="168">
        <v>3.3565947616363343</v>
      </c>
      <c r="I96" s="168">
        <v>3.5826114411134529</v>
      </c>
      <c r="J96" s="168">
        <v>3.4924948059650607</v>
      </c>
    </row>
    <row r="97" spans="1:10" ht="15" customHeight="1" x14ac:dyDescent="0.2">
      <c r="A97" s="175"/>
      <c r="B97" s="115">
        <v>2004</v>
      </c>
      <c r="C97" s="168">
        <v>3.4726144615009749</v>
      </c>
      <c r="D97" s="168">
        <v>3.3994315089825689</v>
      </c>
      <c r="E97" s="168">
        <v>3.8772164150212931</v>
      </c>
      <c r="F97" s="168">
        <v>3.4946797356318515</v>
      </c>
      <c r="G97" s="168">
        <v>3.60416747250847</v>
      </c>
      <c r="H97" s="168">
        <v>3.4517741255794352</v>
      </c>
      <c r="I97" s="168">
        <v>3.5784184743056384</v>
      </c>
      <c r="J97" s="168">
        <v>3.4725926153005799</v>
      </c>
    </row>
    <row r="98" spans="1:10" ht="15" customHeight="1" x14ac:dyDescent="0.2">
      <c r="A98" s="175"/>
      <c r="B98" s="115"/>
      <c r="C98" s="168"/>
      <c r="D98" s="168"/>
      <c r="E98" s="168"/>
      <c r="F98" s="168"/>
      <c r="G98" s="168"/>
      <c r="H98" s="168"/>
      <c r="I98" s="168"/>
      <c r="J98" s="168"/>
    </row>
    <row r="99" spans="1:10" ht="15" customHeight="1" x14ac:dyDescent="0.2">
      <c r="A99" s="175"/>
      <c r="B99" s="115">
        <v>2005</v>
      </c>
      <c r="C99" s="168">
        <v>3.487477824984758</v>
      </c>
      <c r="D99" s="168">
        <v>3.4133724129537026</v>
      </c>
      <c r="E99" s="168">
        <v>3.8725486901473181</v>
      </c>
      <c r="F99" s="168">
        <v>3.5157170546481704</v>
      </c>
      <c r="G99" s="168">
        <v>3.6016725139055712</v>
      </c>
      <c r="H99" s="168">
        <v>3.3194803573843128</v>
      </c>
      <c r="I99" s="168">
        <v>3.5617923766497483</v>
      </c>
      <c r="J99" s="168">
        <v>3.5115237687811027</v>
      </c>
    </row>
    <row r="100" spans="1:10" ht="15" customHeight="1" x14ac:dyDescent="0.2">
      <c r="A100" s="175"/>
      <c r="B100" s="115">
        <v>2006</v>
      </c>
      <c r="C100" s="168">
        <v>3.4434931548331464</v>
      </c>
      <c r="D100" s="168">
        <v>3.389868396831841</v>
      </c>
      <c r="E100" s="168">
        <v>3.8083757733911359</v>
      </c>
      <c r="F100" s="168">
        <v>3.4004076798895086</v>
      </c>
      <c r="G100" s="168">
        <v>3.630745725304604</v>
      </c>
      <c r="H100" s="168">
        <v>3.3168037096078651</v>
      </c>
      <c r="I100" s="168">
        <v>3.5446677485909821</v>
      </c>
      <c r="J100" s="168">
        <v>3.4745109733382042</v>
      </c>
    </row>
    <row r="101" spans="1:10" ht="15" customHeight="1" x14ac:dyDescent="0.2">
      <c r="A101" s="175"/>
      <c r="B101" s="115">
        <v>2007</v>
      </c>
      <c r="C101" s="168">
        <v>3.4490897744445066</v>
      </c>
      <c r="D101" s="168">
        <v>3.3885344961335262</v>
      </c>
      <c r="E101" s="168">
        <v>3.8314907560834839</v>
      </c>
      <c r="F101" s="168">
        <v>3.4260536365364347</v>
      </c>
      <c r="G101" s="168">
        <v>3.6510041244533022</v>
      </c>
      <c r="H101" s="168">
        <v>3.2555790307084651</v>
      </c>
      <c r="I101" s="168">
        <v>3.5559458188943296</v>
      </c>
      <c r="J101" s="168">
        <v>3.4923847608569933</v>
      </c>
    </row>
    <row r="102" spans="1:10" ht="15" customHeight="1" x14ac:dyDescent="0.2">
      <c r="A102" s="175"/>
      <c r="B102" s="115">
        <v>2008</v>
      </c>
      <c r="C102" s="168">
        <v>3.4228573981125026</v>
      </c>
      <c r="D102" s="168">
        <v>3.3534009717623308</v>
      </c>
      <c r="E102" s="168">
        <v>3.8340038825103404</v>
      </c>
      <c r="F102" s="168">
        <v>3.406571328430279</v>
      </c>
      <c r="G102" s="168">
        <v>3.6890669296191296</v>
      </c>
      <c r="H102" s="168">
        <v>3.2745026510266331</v>
      </c>
      <c r="I102" s="168">
        <v>3.5253336237917736</v>
      </c>
      <c r="J102" s="168">
        <v>3.478800533302119</v>
      </c>
    </row>
    <row r="103" spans="1:10" ht="15" customHeight="1" x14ac:dyDescent="0.2">
      <c r="A103" s="175"/>
      <c r="B103" s="115">
        <v>2009</v>
      </c>
      <c r="C103" s="168">
        <v>3.4908049635158678</v>
      </c>
      <c r="D103" s="168">
        <v>3.4008344965851922</v>
      </c>
      <c r="E103" s="168">
        <v>3.8173934161099141</v>
      </c>
      <c r="F103" s="168">
        <v>3.6430898401261902</v>
      </c>
      <c r="G103" s="168">
        <v>3.6732601218646597</v>
      </c>
      <c r="H103" s="168">
        <v>3.3772078249514066</v>
      </c>
      <c r="I103" s="168">
        <v>3.5335101357195953</v>
      </c>
      <c r="J103" s="168">
        <v>3.5433061620528568</v>
      </c>
    </row>
    <row r="104" spans="1:10" ht="15" customHeight="1" x14ac:dyDescent="0.2">
      <c r="A104" s="175"/>
      <c r="B104" s="115"/>
      <c r="C104" s="168"/>
      <c r="D104" s="168"/>
      <c r="E104" s="168"/>
      <c r="F104" s="168"/>
      <c r="G104" s="168"/>
      <c r="H104" s="168"/>
      <c r="I104" s="168"/>
      <c r="J104" s="168"/>
    </row>
    <row r="105" spans="1:10" ht="15" customHeight="1" x14ac:dyDescent="0.2">
      <c r="A105" s="175"/>
      <c r="B105" s="115">
        <v>2010</v>
      </c>
      <c r="C105" s="168">
        <v>3.4494351838686677</v>
      </c>
      <c r="D105" s="168">
        <v>3.3702928014591595</v>
      </c>
      <c r="E105" s="168">
        <v>3.7873616587913332</v>
      </c>
      <c r="F105" s="168">
        <v>3.5563815858872294</v>
      </c>
      <c r="G105" s="168">
        <v>3.7080078804274259</v>
      </c>
      <c r="H105" s="168">
        <v>3.4013603806929216</v>
      </c>
      <c r="I105" s="168">
        <v>3.5340520509340245</v>
      </c>
      <c r="J105" s="168">
        <v>3.5009730818292368</v>
      </c>
    </row>
    <row r="106" spans="1:10" ht="15" customHeight="1" x14ac:dyDescent="0.2">
      <c r="A106" s="175"/>
      <c r="B106" s="115">
        <v>2011</v>
      </c>
      <c r="C106" s="168">
        <v>3.4597290503978888</v>
      </c>
      <c r="D106" s="168">
        <v>3.3458040196627827</v>
      </c>
      <c r="E106" s="168">
        <v>3.8458343388839729</v>
      </c>
      <c r="F106" s="168">
        <v>3.6731613020329137</v>
      </c>
      <c r="G106" s="168">
        <v>3.7307614087613583</v>
      </c>
      <c r="H106" s="168">
        <v>3.5400904285805259</v>
      </c>
      <c r="I106" s="168">
        <v>3.5245769142187888</v>
      </c>
      <c r="J106" s="168">
        <v>3.4999359438174409</v>
      </c>
    </row>
    <row r="107" spans="1:10" ht="15" customHeight="1" x14ac:dyDescent="0.2">
      <c r="A107" s="175"/>
      <c r="B107" s="115">
        <v>2012</v>
      </c>
      <c r="C107" s="168">
        <v>3.4481226772516731</v>
      </c>
      <c r="D107" s="168">
        <v>3.3324353694207902</v>
      </c>
      <c r="E107" s="168">
        <v>3.8137649838766006</v>
      </c>
      <c r="F107" s="168">
        <v>3.6992881333931225</v>
      </c>
      <c r="G107" s="168">
        <v>3.7375273547845818</v>
      </c>
      <c r="H107" s="168">
        <v>3.3310950274231717</v>
      </c>
      <c r="I107" s="168">
        <v>3.49161046925345</v>
      </c>
      <c r="J107" s="168">
        <v>3.5300181056122582</v>
      </c>
    </row>
    <row r="108" spans="1:10" ht="15" customHeight="1" x14ac:dyDescent="0.2">
      <c r="A108" s="175"/>
      <c r="B108" s="115">
        <v>2013</v>
      </c>
      <c r="C108" s="168">
        <v>3.4493290252204929</v>
      </c>
      <c r="D108" s="168">
        <v>3.3435266606268121</v>
      </c>
      <c r="E108" s="168">
        <v>3.8337055219665879</v>
      </c>
      <c r="F108" s="168">
        <v>3.661910165742178</v>
      </c>
      <c r="G108" s="168">
        <v>3.7315326307780721</v>
      </c>
      <c r="H108" s="168">
        <v>3.2975149332166356</v>
      </c>
      <c r="I108" s="168">
        <v>3.4881472640937665</v>
      </c>
      <c r="J108" s="168">
        <v>3.539810093769991</v>
      </c>
    </row>
    <row r="109" spans="1:10" ht="15" customHeight="1" x14ac:dyDescent="0.2">
      <c r="A109" s="175"/>
      <c r="B109" s="115">
        <v>2014</v>
      </c>
      <c r="C109" s="168">
        <v>3.4214552086895629</v>
      </c>
      <c r="D109" s="168">
        <v>3.3189276896311037</v>
      </c>
      <c r="E109" s="168">
        <v>3.8105436674696254</v>
      </c>
      <c r="F109" s="168">
        <v>3.6339206586918604</v>
      </c>
      <c r="G109" s="168">
        <v>3.7492926331139431</v>
      </c>
      <c r="H109" s="168">
        <v>3.2604529654338581</v>
      </c>
      <c r="I109" s="168">
        <v>3.4801572401806866</v>
      </c>
      <c r="J109" s="168">
        <v>3.5224345657533602</v>
      </c>
    </row>
    <row r="110" spans="1:10" ht="15" customHeight="1" x14ac:dyDescent="0.2">
      <c r="A110" s="183"/>
      <c r="B110" s="115"/>
      <c r="C110" s="168"/>
      <c r="D110" s="168"/>
      <c r="E110" s="168"/>
      <c r="F110" s="168"/>
      <c r="G110" s="168"/>
      <c r="H110" s="168"/>
      <c r="I110" s="168"/>
      <c r="J110" s="168"/>
    </row>
    <row r="111" spans="1:10" ht="15" customHeight="1" x14ac:dyDescent="0.2">
      <c r="A111" s="183"/>
      <c r="B111" s="115">
        <v>2015</v>
      </c>
      <c r="C111" s="168">
        <v>3.4408946348562304</v>
      </c>
      <c r="D111" s="168">
        <v>3.3107486924458756</v>
      </c>
      <c r="E111" s="168">
        <v>3.7922223780843738</v>
      </c>
      <c r="F111" s="168">
        <v>3.8307935264085087</v>
      </c>
      <c r="G111" s="168">
        <v>3.7430652580878827</v>
      </c>
      <c r="H111" s="168">
        <v>3.2736468950668711</v>
      </c>
      <c r="I111" s="168">
        <v>3.4695119247107122</v>
      </c>
      <c r="J111" s="168">
        <v>3.5478404113138278</v>
      </c>
    </row>
    <row r="112" spans="1:10" ht="15" customHeight="1" x14ac:dyDescent="0.2">
      <c r="A112" s="183"/>
      <c r="B112" s="115">
        <v>2016</v>
      </c>
      <c r="C112" s="168">
        <v>3.4172959203858424</v>
      </c>
      <c r="D112" s="168">
        <v>3.3067366492282115</v>
      </c>
      <c r="E112" s="168">
        <v>3.7538026940899916</v>
      </c>
      <c r="F112" s="168">
        <v>3.7367618991690401</v>
      </c>
      <c r="G112" s="168">
        <v>3.7431904880130626</v>
      </c>
      <c r="H112" s="168">
        <v>3.270606135049706</v>
      </c>
      <c r="I112" s="168">
        <v>3.4631185772018243</v>
      </c>
      <c r="J112" s="168">
        <v>3.5224125891089839</v>
      </c>
    </row>
    <row r="113" spans="1:10" ht="15" customHeight="1" x14ac:dyDescent="0.2">
      <c r="A113" s="183"/>
      <c r="B113" s="115">
        <v>2017</v>
      </c>
      <c r="C113" s="168">
        <v>3.4634715545866115</v>
      </c>
      <c r="D113" s="168">
        <v>3.299430526344274</v>
      </c>
      <c r="E113" s="168">
        <v>3.9582901656328278</v>
      </c>
      <c r="F113" s="168">
        <v>3.9524120552937658</v>
      </c>
      <c r="G113" s="168">
        <v>3.7485895495948327</v>
      </c>
      <c r="H113" s="168">
        <v>3.3343618172650014</v>
      </c>
      <c r="I113" s="168">
        <v>3.4610567400675754</v>
      </c>
      <c r="J113" s="168">
        <v>3.571803734190091</v>
      </c>
    </row>
    <row r="114" spans="1:10" ht="15" customHeight="1" x14ac:dyDescent="0.2">
      <c r="A114" s="183"/>
      <c r="B114" s="115">
        <v>2018</v>
      </c>
      <c r="C114" s="168">
        <v>3.4439009361819211</v>
      </c>
      <c r="D114" s="168">
        <v>3.3046675902711704</v>
      </c>
      <c r="E114" s="168">
        <v>3.815099215339683</v>
      </c>
      <c r="F114" s="168">
        <v>3.9052971541309693</v>
      </c>
      <c r="G114" s="168">
        <v>3.7625965905340006</v>
      </c>
      <c r="H114" s="168">
        <v>3.2880562287930197</v>
      </c>
      <c r="I114" s="168">
        <v>3.4620339355180119</v>
      </c>
      <c r="J114" s="168">
        <v>3.5593558363022497</v>
      </c>
    </row>
    <row r="115" spans="1:10" ht="15" customHeight="1" x14ac:dyDescent="0.2">
      <c r="A115" s="183"/>
      <c r="B115" s="115">
        <v>2019</v>
      </c>
      <c r="C115" s="168">
        <v>3.4478829067880543</v>
      </c>
      <c r="D115" s="168">
        <v>3.3053414910406014</v>
      </c>
      <c r="E115" s="168">
        <v>3.9707749774628081</v>
      </c>
      <c r="F115" s="168">
        <v>3.8836386967162428</v>
      </c>
      <c r="G115" s="168">
        <v>3.7528215084624152</v>
      </c>
      <c r="H115" s="168">
        <v>3.2558990790526754</v>
      </c>
      <c r="I115" s="168">
        <v>3.4608501136688861</v>
      </c>
      <c r="J115" s="168">
        <v>3.5693387970764423</v>
      </c>
    </row>
    <row r="116" spans="1:10" ht="15" customHeight="1" x14ac:dyDescent="0.2">
      <c r="A116" s="183"/>
      <c r="B116" s="115"/>
      <c r="C116" s="168"/>
      <c r="D116" s="168"/>
      <c r="E116" s="168"/>
      <c r="F116" s="168"/>
      <c r="G116" s="168"/>
      <c r="H116" s="168"/>
      <c r="I116" s="168"/>
      <c r="J116" s="168"/>
    </row>
    <row r="117" spans="1:10" ht="15" customHeight="1" x14ac:dyDescent="0.2">
      <c r="A117" s="183"/>
      <c r="B117" s="115">
        <v>2020</v>
      </c>
      <c r="C117" s="168">
        <v>3.4850442644565831</v>
      </c>
      <c r="D117" s="168">
        <v>3.3394287799261098</v>
      </c>
      <c r="E117" s="168">
        <v>4.100649657137768</v>
      </c>
      <c r="F117" s="168">
        <v>3.9346467775542111</v>
      </c>
      <c r="G117" s="168">
        <v>3.7096534455701966</v>
      </c>
      <c r="H117" s="168">
        <v>3.3515736061285826</v>
      </c>
      <c r="I117" s="168">
        <v>3.4413454868392495</v>
      </c>
      <c r="J117" s="168">
        <v>3.597646752125907</v>
      </c>
    </row>
    <row r="118" spans="1:10" ht="15" customHeight="1" x14ac:dyDescent="0.2">
      <c r="A118" s="183"/>
      <c r="B118" s="115">
        <v>2021</v>
      </c>
      <c r="C118" s="168">
        <v>3.4960912873184973</v>
      </c>
      <c r="D118" s="168">
        <v>3.3552524801925014</v>
      </c>
      <c r="E118" s="168">
        <v>4.0666823996071528</v>
      </c>
      <c r="F118" s="168">
        <v>3.9472288652825553</v>
      </c>
      <c r="G118" s="168">
        <v>3.7288944486125963</v>
      </c>
      <c r="H118" s="168">
        <v>3.2596080702081767</v>
      </c>
      <c r="I118" s="168">
        <v>3.4798068908740407</v>
      </c>
      <c r="J118" s="168">
        <v>3.6189572925593723</v>
      </c>
    </row>
    <row r="119" spans="1:10" s="101" customFormat="1" ht="15" customHeight="1" x14ac:dyDescent="0.2">
      <c r="A119" s="175"/>
      <c r="B119" s="115">
        <v>2022</v>
      </c>
      <c r="C119" s="178">
        <v>3.542395538953429</v>
      </c>
      <c r="D119" s="178">
        <v>3.3727108068298453</v>
      </c>
      <c r="E119" s="178">
        <v>4.2657940445459515</v>
      </c>
      <c r="F119" s="178">
        <v>4.0088088439352756</v>
      </c>
      <c r="G119" s="178">
        <v>3.7392973603443043</v>
      </c>
      <c r="H119" s="178">
        <v>3.3476589573315012</v>
      </c>
      <c r="I119" s="178">
        <v>3.5118454080036474</v>
      </c>
      <c r="J119" s="178">
        <v>3.6460746628357974</v>
      </c>
    </row>
    <row r="120" spans="1:10" ht="15" customHeight="1" x14ac:dyDescent="0.2">
      <c r="A120" s="183"/>
      <c r="B120" s="186">
        <v>2023</v>
      </c>
      <c r="C120" s="170">
        <v>3.5186096600109797</v>
      </c>
      <c r="D120" s="170">
        <v>3.3721902229966441</v>
      </c>
      <c r="E120" s="170">
        <v>4.0829933747195994</v>
      </c>
      <c r="F120" s="170">
        <v>3.9681842198561283</v>
      </c>
      <c r="G120" s="170">
        <v>3.7309779960470628</v>
      </c>
      <c r="H120" s="170">
        <v>3.3675859618083872</v>
      </c>
      <c r="I120" s="170">
        <v>3.488999205396345</v>
      </c>
      <c r="J120" s="170">
        <v>3.6178207795631963</v>
      </c>
    </row>
    <row r="121" spans="1:10" x14ac:dyDescent="0.2">
      <c r="B121" s="102"/>
      <c r="C121" s="109"/>
      <c r="D121" s="109"/>
      <c r="E121" s="109"/>
      <c r="F121" s="109"/>
      <c r="G121" s="109"/>
      <c r="H121" s="109"/>
      <c r="I121" s="109"/>
      <c r="J121" s="109"/>
    </row>
    <row r="122" spans="1:10" x14ac:dyDescent="0.2">
      <c r="B122" s="390" t="s">
        <v>180</v>
      </c>
      <c r="C122" s="390"/>
      <c r="D122" s="390"/>
      <c r="E122" s="390"/>
      <c r="F122" s="390"/>
      <c r="G122" s="390"/>
      <c r="H122" s="390"/>
      <c r="I122" s="390"/>
      <c r="J122" s="390"/>
    </row>
    <row r="123" spans="1:10" x14ac:dyDescent="0.2">
      <c r="B123" s="99"/>
      <c r="C123" s="99"/>
      <c r="D123" s="99"/>
      <c r="E123" s="99"/>
      <c r="F123" s="99"/>
      <c r="G123" s="99"/>
      <c r="H123" s="99"/>
      <c r="I123" s="99"/>
      <c r="J123" s="99"/>
    </row>
    <row r="124" spans="1:10" x14ac:dyDescent="0.2">
      <c r="B124" s="388" t="s">
        <v>217</v>
      </c>
      <c r="C124" s="388"/>
      <c r="D124" s="388"/>
      <c r="E124" s="388"/>
      <c r="F124" s="388"/>
      <c r="G124" s="388"/>
      <c r="H124" s="388"/>
      <c r="I124" s="388"/>
      <c r="J124" s="388"/>
    </row>
    <row r="126" spans="1:10" x14ac:dyDescent="0.2">
      <c r="J126" s="107" t="s">
        <v>177</v>
      </c>
    </row>
  </sheetData>
  <mergeCells count="13">
    <mergeCell ref="B124:J124"/>
    <mergeCell ref="B3:J3"/>
    <mergeCell ref="B4:B5"/>
    <mergeCell ref="C4:F4"/>
    <mergeCell ref="G4:G5"/>
    <mergeCell ref="H4:H5"/>
    <mergeCell ref="I4:I5"/>
    <mergeCell ref="J4:J5"/>
    <mergeCell ref="C6:J6"/>
    <mergeCell ref="C35:J35"/>
    <mergeCell ref="C63:J63"/>
    <mergeCell ref="C92:J92"/>
    <mergeCell ref="B122:J122"/>
  </mergeCells>
  <hyperlinks>
    <hyperlink ref="J126" location="Inhaltsverzeichnis!A1" display="› Zurück zum Inhaltsverzeichnis" xr:uid="{61DC1C0B-7618-4C94-9BD7-04BD08466E0A}"/>
  </hyperlinks>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6CAE-2E12-475B-B275-78B7CFEB1A76}">
  <sheetPr codeName="Tabelle14"/>
  <dimension ref="A1:J188"/>
  <sheetViews>
    <sheetView zoomScaleNormal="100" workbookViewId="0">
      <pane ySplit="5" topLeftCell="A169" activePane="bottomLeft" state="frozen"/>
      <selection pane="bottomLeft"/>
    </sheetView>
  </sheetViews>
  <sheetFormatPr baseColWidth="10" defaultColWidth="11.375" defaultRowHeight="11.4" x14ac:dyDescent="0.2"/>
  <cols>
    <col min="1" max="1" width="2.75" style="9" customWidth="1"/>
    <col min="2" max="4" width="12.75" style="100" customWidth="1"/>
    <col min="5" max="5" width="14.375" style="100" customWidth="1"/>
    <col min="6" max="6" width="12.75" style="100" customWidth="1"/>
    <col min="7" max="7" width="14.375" style="100" customWidth="1"/>
    <col min="8" max="8" width="15.875" style="100" customWidth="1"/>
    <col min="9" max="9" width="14.125" style="100" customWidth="1"/>
    <col min="10" max="16384" width="11.375" style="100"/>
  </cols>
  <sheetData>
    <row r="1" spans="1:10" s="46" customFormat="1" ht="13.8" x14ac:dyDescent="0.2">
      <c r="C1" s="40"/>
      <c r="E1" s="41"/>
    </row>
    <row r="2" spans="1:10" s="95" customFormat="1" ht="20.100000000000001" customHeight="1" x14ac:dyDescent="0.25">
      <c r="A2" s="93"/>
      <c r="B2" s="97" t="s">
        <v>44</v>
      </c>
      <c r="C2" s="97"/>
      <c r="D2" s="97"/>
      <c r="E2" s="97"/>
      <c r="F2" s="97"/>
      <c r="G2" s="97"/>
      <c r="H2" s="97"/>
    </row>
    <row r="3" spans="1:10" s="80" customFormat="1" ht="50.25" customHeight="1" x14ac:dyDescent="0.2">
      <c r="A3" s="65"/>
      <c r="B3" s="381" t="s">
        <v>218</v>
      </c>
      <c r="C3" s="381"/>
      <c r="D3" s="381"/>
      <c r="E3" s="381"/>
      <c r="F3" s="381"/>
      <c r="G3" s="381"/>
      <c r="H3" s="381"/>
      <c r="I3" s="381"/>
    </row>
    <row r="4" spans="1:10" ht="20.100000000000001" customHeight="1" x14ac:dyDescent="0.2">
      <c r="A4" s="5"/>
      <c r="B4" s="382" t="s">
        <v>0</v>
      </c>
      <c r="C4" s="383" t="s">
        <v>16</v>
      </c>
      <c r="D4" s="403" t="s">
        <v>17</v>
      </c>
      <c r="E4" s="403"/>
      <c r="F4" s="403"/>
      <c r="G4" s="403"/>
      <c r="H4" s="403"/>
      <c r="I4" s="404"/>
    </row>
    <row r="5" spans="1:10" ht="68.400000000000006" x14ac:dyDescent="0.2">
      <c r="A5" s="5"/>
      <c r="B5" s="382"/>
      <c r="C5" s="383"/>
      <c r="D5" s="157" t="s">
        <v>4</v>
      </c>
      <c r="E5" s="157" t="s">
        <v>5</v>
      </c>
      <c r="F5" s="157" t="s">
        <v>2</v>
      </c>
      <c r="G5" s="157" t="s">
        <v>131</v>
      </c>
      <c r="H5" s="157" t="s">
        <v>6</v>
      </c>
      <c r="I5" s="158" t="s">
        <v>3</v>
      </c>
    </row>
    <row r="6" spans="1:10" ht="15" customHeight="1" x14ac:dyDescent="0.2">
      <c r="A6" s="20"/>
      <c r="B6" s="171"/>
      <c r="C6" s="389" t="s">
        <v>26</v>
      </c>
      <c r="D6" s="389"/>
      <c r="E6" s="389"/>
      <c r="F6" s="389"/>
      <c r="G6" s="389"/>
      <c r="H6" s="389"/>
      <c r="I6" s="389"/>
      <c r="J6" s="103"/>
    </row>
    <row r="7" spans="1:10" ht="15" customHeight="1" x14ac:dyDescent="0.2">
      <c r="A7" s="5"/>
      <c r="B7" s="189">
        <v>2000</v>
      </c>
      <c r="C7" s="172">
        <v>1874.1389999999999</v>
      </c>
      <c r="D7" s="172">
        <v>69.623000000000005</v>
      </c>
      <c r="E7" s="172">
        <v>300.10899999999998</v>
      </c>
      <c r="F7" s="172">
        <v>152.81700000000001</v>
      </c>
      <c r="G7" s="172">
        <v>538.02700000000004</v>
      </c>
      <c r="H7" s="172">
        <v>237.435</v>
      </c>
      <c r="I7" s="172">
        <v>576.12800000000004</v>
      </c>
    </row>
    <row r="8" spans="1:10" ht="15" customHeight="1" x14ac:dyDescent="0.2">
      <c r="A8" s="20"/>
      <c r="B8" s="189">
        <v>2001</v>
      </c>
      <c r="C8" s="172">
        <v>1865.451</v>
      </c>
      <c r="D8" s="172">
        <v>67.724000000000004</v>
      </c>
      <c r="E8" s="172">
        <v>295.05799999999999</v>
      </c>
      <c r="F8" s="172">
        <v>145.244</v>
      </c>
      <c r="G8" s="172">
        <v>536.86099999999999</v>
      </c>
      <c r="H8" s="172">
        <v>241.79400000000001</v>
      </c>
      <c r="I8" s="172">
        <v>578.77</v>
      </c>
    </row>
    <row r="9" spans="1:10" ht="15" customHeight="1" x14ac:dyDescent="0.2">
      <c r="A9" s="20"/>
      <c r="B9" s="189">
        <v>2002</v>
      </c>
      <c r="C9" s="172">
        <v>1844.752</v>
      </c>
      <c r="D9" s="172">
        <v>66.677000000000007</v>
      </c>
      <c r="E9" s="172">
        <v>288.33300000000003</v>
      </c>
      <c r="F9" s="172">
        <v>138.53800000000001</v>
      </c>
      <c r="G9" s="172">
        <v>529.81500000000005</v>
      </c>
      <c r="H9" s="172">
        <v>241.43299999999999</v>
      </c>
      <c r="I9" s="172">
        <v>579.95600000000002</v>
      </c>
    </row>
    <row r="10" spans="1:10" ht="15" customHeight="1" x14ac:dyDescent="0.2">
      <c r="A10" s="20"/>
      <c r="B10" s="189">
        <v>2003</v>
      </c>
      <c r="C10" s="172">
        <v>1806.01</v>
      </c>
      <c r="D10" s="172">
        <v>65.388999999999996</v>
      </c>
      <c r="E10" s="172">
        <v>280.88</v>
      </c>
      <c r="F10" s="172">
        <v>131.14099999999999</v>
      </c>
      <c r="G10" s="172">
        <v>515.11099999999999</v>
      </c>
      <c r="H10" s="172">
        <v>239.661</v>
      </c>
      <c r="I10" s="172">
        <v>573.82799999999997</v>
      </c>
    </row>
    <row r="11" spans="1:10" ht="15" customHeight="1" x14ac:dyDescent="0.2">
      <c r="A11" s="20"/>
      <c r="B11" s="189">
        <v>2004</v>
      </c>
      <c r="C11" s="172">
        <v>1802.86</v>
      </c>
      <c r="D11" s="172">
        <v>64.44</v>
      </c>
      <c r="E11" s="172">
        <v>280.29500000000002</v>
      </c>
      <c r="F11" s="172">
        <v>126.633</v>
      </c>
      <c r="G11" s="172">
        <v>513.21400000000006</v>
      </c>
      <c r="H11" s="172">
        <v>241.071</v>
      </c>
      <c r="I11" s="172">
        <v>577.20699999999999</v>
      </c>
    </row>
    <row r="12" spans="1:10" ht="15" customHeight="1" x14ac:dyDescent="0.2">
      <c r="A12" s="20"/>
      <c r="B12" s="189"/>
      <c r="C12" s="172"/>
      <c r="D12" s="172"/>
      <c r="E12" s="172"/>
      <c r="F12" s="172"/>
      <c r="G12" s="172"/>
      <c r="H12" s="172"/>
      <c r="I12" s="172"/>
    </row>
    <row r="13" spans="1:10" ht="15" customHeight="1" x14ac:dyDescent="0.2">
      <c r="A13" s="20"/>
      <c r="B13" s="189">
        <v>2005</v>
      </c>
      <c r="C13" s="172">
        <v>1789.7</v>
      </c>
      <c r="D13" s="172">
        <v>63.21</v>
      </c>
      <c r="E13" s="172">
        <v>272.00200000000001</v>
      </c>
      <c r="F13" s="172">
        <v>123.703</v>
      </c>
      <c r="G13" s="172">
        <v>509.65899999999999</v>
      </c>
      <c r="H13" s="172">
        <v>242.81800000000001</v>
      </c>
      <c r="I13" s="172">
        <v>578.30799999999999</v>
      </c>
    </row>
    <row r="14" spans="1:10" ht="15" customHeight="1" x14ac:dyDescent="0.2">
      <c r="A14" s="20"/>
      <c r="B14" s="189">
        <v>2006</v>
      </c>
      <c r="C14" s="172">
        <v>1833.2670000000001</v>
      </c>
      <c r="D14" s="172">
        <v>62.93</v>
      </c>
      <c r="E14" s="172">
        <v>272.42099999999999</v>
      </c>
      <c r="F14" s="172">
        <v>125.62</v>
      </c>
      <c r="G14" s="172">
        <v>516.22199999999998</v>
      </c>
      <c r="H14" s="172">
        <v>256.47699999999998</v>
      </c>
      <c r="I14" s="172">
        <v>599.59699999999998</v>
      </c>
    </row>
    <row r="15" spans="1:10" ht="15" customHeight="1" x14ac:dyDescent="0.2">
      <c r="A15" s="20"/>
      <c r="B15" s="189">
        <v>2007</v>
      </c>
      <c r="C15" s="172">
        <v>1865.9949999999999</v>
      </c>
      <c r="D15" s="172">
        <v>63.988999999999997</v>
      </c>
      <c r="E15" s="172">
        <v>277.09199999999998</v>
      </c>
      <c r="F15" s="172">
        <v>128.625</v>
      </c>
      <c r="G15" s="172">
        <v>526.02800000000002</v>
      </c>
      <c r="H15" s="172">
        <v>265.99200000000002</v>
      </c>
      <c r="I15" s="172">
        <v>604.26900000000001</v>
      </c>
    </row>
    <row r="16" spans="1:10" ht="15" customHeight="1" x14ac:dyDescent="0.2">
      <c r="A16" s="20"/>
      <c r="B16" s="189">
        <v>2008</v>
      </c>
      <c r="C16" s="172">
        <v>1884.5150000000001</v>
      </c>
      <c r="D16" s="172">
        <v>64.451999999999998</v>
      </c>
      <c r="E16" s="172">
        <v>281.67399999999998</v>
      </c>
      <c r="F16" s="172">
        <v>129.691</v>
      </c>
      <c r="G16" s="172">
        <v>526.83199999999999</v>
      </c>
      <c r="H16" s="172">
        <v>274.35500000000002</v>
      </c>
      <c r="I16" s="172">
        <v>607.51099999999997</v>
      </c>
    </row>
    <row r="17" spans="1:9" ht="15" customHeight="1" x14ac:dyDescent="0.2">
      <c r="A17" s="20"/>
      <c r="B17" s="189">
        <v>2009</v>
      </c>
      <c r="C17" s="172">
        <v>1850.4780000000001</v>
      </c>
      <c r="D17" s="172">
        <v>61.540999999999997</v>
      </c>
      <c r="E17" s="172">
        <v>265.226</v>
      </c>
      <c r="F17" s="172">
        <v>129.21799999999999</v>
      </c>
      <c r="G17" s="172">
        <v>516.423</v>
      </c>
      <c r="H17" s="172">
        <v>272.73700000000002</v>
      </c>
      <c r="I17" s="172">
        <v>605.33299999999997</v>
      </c>
    </row>
    <row r="18" spans="1:9" ht="15" customHeight="1" x14ac:dyDescent="0.2">
      <c r="A18" s="20"/>
      <c r="B18" s="189"/>
      <c r="C18" s="172"/>
      <c r="D18" s="172"/>
      <c r="E18" s="172"/>
      <c r="F18" s="172"/>
      <c r="G18" s="172"/>
      <c r="H18" s="172"/>
      <c r="I18" s="172"/>
    </row>
    <row r="19" spans="1:9" ht="15" customHeight="1" x14ac:dyDescent="0.2">
      <c r="A19" s="20"/>
      <c r="B19" s="189">
        <v>2010</v>
      </c>
      <c r="C19" s="172">
        <v>1882.3019999999999</v>
      </c>
      <c r="D19" s="172">
        <v>65.638999999999996</v>
      </c>
      <c r="E19" s="172">
        <v>264.18299999999999</v>
      </c>
      <c r="F19" s="172">
        <v>132.82300000000001</v>
      </c>
      <c r="G19" s="172">
        <v>514.47699999999998</v>
      </c>
      <c r="H19" s="172">
        <v>280.411</v>
      </c>
      <c r="I19" s="172">
        <v>624.76900000000001</v>
      </c>
    </row>
    <row r="20" spans="1:9" ht="15" customHeight="1" x14ac:dyDescent="0.2">
      <c r="A20" s="20"/>
      <c r="B20" s="189">
        <v>2011</v>
      </c>
      <c r="C20" s="172">
        <v>1900.944</v>
      </c>
      <c r="D20" s="172">
        <v>69.376000000000005</v>
      </c>
      <c r="E20" s="172">
        <v>269.26400000000001</v>
      </c>
      <c r="F20" s="172">
        <v>138.50299999999999</v>
      </c>
      <c r="G20" s="172">
        <v>516.60799999999995</v>
      </c>
      <c r="H20" s="172">
        <v>284.32100000000003</v>
      </c>
      <c r="I20" s="172">
        <v>622.87199999999996</v>
      </c>
    </row>
    <row r="21" spans="1:9" ht="15" customHeight="1" x14ac:dyDescent="0.2">
      <c r="A21" s="20"/>
      <c r="B21" s="189">
        <v>2012</v>
      </c>
      <c r="C21" s="172">
        <v>1889.9939999999999</v>
      </c>
      <c r="D21" s="172">
        <v>67.679000000000002</v>
      </c>
      <c r="E21" s="172">
        <v>267.42200000000003</v>
      </c>
      <c r="F21" s="172">
        <v>143.32400000000001</v>
      </c>
      <c r="G21" s="172">
        <v>513.89099999999996</v>
      </c>
      <c r="H21" s="172">
        <v>281.04700000000003</v>
      </c>
      <c r="I21" s="172">
        <v>616.63099999999997</v>
      </c>
    </row>
    <row r="22" spans="1:9" ht="15" customHeight="1" x14ac:dyDescent="0.2">
      <c r="A22" s="20"/>
      <c r="B22" s="189">
        <v>2013</v>
      </c>
      <c r="C22" s="172">
        <v>1878.529</v>
      </c>
      <c r="D22" s="172">
        <v>64.052000000000007</v>
      </c>
      <c r="E22" s="172">
        <v>268.78500000000003</v>
      </c>
      <c r="F22" s="172">
        <v>142.274</v>
      </c>
      <c r="G22" s="172">
        <v>513.34699999999998</v>
      </c>
      <c r="H22" s="172">
        <v>277.08800000000002</v>
      </c>
      <c r="I22" s="172">
        <v>612.98299999999995</v>
      </c>
    </row>
    <row r="23" spans="1:9" ht="15" customHeight="1" x14ac:dyDescent="0.2">
      <c r="A23" s="20"/>
      <c r="B23" s="189">
        <v>2014</v>
      </c>
      <c r="C23" s="172">
        <v>1899.847</v>
      </c>
      <c r="D23" s="172">
        <v>59.465000000000003</v>
      </c>
      <c r="E23" s="172">
        <v>271.12</v>
      </c>
      <c r="F23" s="172">
        <v>142.523</v>
      </c>
      <c r="G23" s="172">
        <v>520.45799999999997</v>
      </c>
      <c r="H23" s="172">
        <v>283.84100000000001</v>
      </c>
      <c r="I23" s="172">
        <v>622.44000000000005</v>
      </c>
    </row>
    <row r="24" spans="1:9" ht="15" customHeight="1" x14ac:dyDescent="0.2">
      <c r="A24" s="20"/>
      <c r="B24" s="189"/>
      <c r="C24" s="172"/>
      <c r="D24" s="172"/>
      <c r="E24" s="172"/>
      <c r="F24" s="172"/>
      <c r="G24" s="172"/>
      <c r="H24" s="172"/>
      <c r="I24" s="172"/>
    </row>
    <row r="25" spans="1:9" ht="15" customHeight="1" x14ac:dyDescent="0.2">
      <c r="A25" s="20"/>
      <c r="B25" s="189">
        <v>2015</v>
      </c>
      <c r="C25" s="172">
        <v>1913.3119999999999</v>
      </c>
      <c r="D25" s="172">
        <v>58.048999999999999</v>
      </c>
      <c r="E25" s="172">
        <v>275.17</v>
      </c>
      <c r="F25" s="172">
        <v>142.095</v>
      </c>
      <c r="G25" s="172">
        <v>521.14300000000003</v>
      </c>
      <c r="H25" s="172">
        <v>285.678</v>
      </c>
      <c r="I25" s="172">
        <v>631.17700000000002</v>
      </c>
    </row>
    <row r="26" spans="1:9" ht="15" customHeight="1" x14ac:dyDescent="0.2">
      <c r="A26" s="20"/>
      <c r="B26" s="189">
        <v>2016</v>
      </c>
      <c r="C26" s="172">
        <v>1940.9860000000001</v>
      </c>
      <c r="D26" s="172">
        <v>57.085999999999999</v>
      </c>
      <c r="E26" s="172">
        <v>275.76600000000002</v>
      </c>
      <c r="F26" s="172">
        <v>146.91800000000001</v>
      </c>
      <c r="G26" s="172">
        <v>527.35500000000002</v>
      </c>
      <c r="H26" s="172">
        <v>292.536</v>
      </c>
      <c r="I26" s="172">
        <v>641.32500000000005</v>
      </c>
    </row>
    <row r="27" spans="1:9" ht="15" customHeight="1" x14ac:dyDescent="0.2">
      <c r="A27" s="20"/>
      <c r="B27" s="189">
        <v>2017</v>
      </c>
      <c r="C27" s="172">
        <v>1955.8</v>
      </c>
      <c r="D27" s="172">
        <v>53.908999999999999</v>
      </c>
      <c r="E27" s="172">
        <v>279.44</v>
      </c>
      <c r="F27" s="172">
        <v>148.72</v>
      </c>
      <c r="G27" s="172">
        <v>527.04300000000001</v>
      </c>
      <c r="H27" s="172">
        <v>297.12900000000002</v>
      </c>
      <c r="I27" s="172">
        <v>649.55899999999997</v>
      </c>
    </row>
    <row r="28" spans="1:9" ht="15" customHeight="1" x14ac:dyDescent="0.2">
      <c r="A28" s="20"/>
      <c r="B28" s="189">
        <v>2018</v>
      </c>
      <c r="C28" s="172">
        <v>1964.1079999999999</v>
      </c>
      <c r="D28" s="172">
        <v>53.570999999999998</v>
      </c>
      <c r="E28" s="172">
        <v>283.137</v>
      </c>
      <c r="F28" s="172">
        <v>149.21700000000001</v>
      </c>
      <c r="G28" s="172">
        <v>529.71100000000001</v>
      </c>
      <c r="H28" s="172">
        <v>297.23700000000002</v>
      </c>
      <c r="I28" s="172">
        <v>651.23500000000001</v>
      </c>
    </row>
    <row r="29" spans="1:9" ht="15" customHeight="1" x14ac:dyDescent="0.2">
      <c r="A29" s="20"/>
      <c r="B29" s="189">
        <v>2019</v>
      </c>
      <c r="C29" s="172">
        <v>1977.107</v>
      </c>
      <c r="D29" s="172">
        <v>53.125999999999998</v>
      </c>
      <c r="E29" s="172">
        <v>284.423</v>
      </c>
      <c r="F29" s="172">
        <v>153.14500000000001</v>
      </c>
      <c r="G29" s="172">
        <v>531.85799999999995</v>
      </c>
      <c r="H29" s="172">
        <v>294.74700000000001</v>
      </c>
      <c r="I29" s="172">
        <v>659.80799999999999</v>
      </c>
    </row>
    <row r="30" spans="1:9" ht="15" customHeight="1" x14ac:dyDescent="0.2">
      <c r="A30" s="20"/>
      <c r="B30" s="189"/>
      <c r="C30" s="172"/>
      <c r="D30" s="172"/>
      <c r="E30" s="172"/>
      <c r="F30" s="172"/>
      <c r="G30" s="172"/>
      <c r="H30" s="172"/>
      <c r="I30" s="172"/>
    </row>
    <row r="31" spans="1:9" ht="15" customHeight="1" x14ac:dyDescent="0.2">
      <c r="A31" s="20"/>
      <c r="B31" s="189">
        <v>2020</v>
      </c>
      <c r="C31" s="172">
        <v>1898.9770000000001</v>
      </c>
      <c r="D31" s="172">
        <v>51.088000000000001</v>
      </c>
      <c r="E31" s="172">
        <v>274.56299999999999</v>
      </c>
      <c r="F31" s="172">
        <v>150.05799999999999</v>
      </c>
      <c r="G31" s="172">
        <v>499.33199999999999</v>
      </c>
      <c r="H31" s="172">
        <v>280.06099999999998</v>
      </c>
      <c r="I31" s="172">
        <v>643.875</v>
      </c>
    </row>
    <row r="32" spans="1:9" s="101" customFormat="1" ht="15" customHeight="1" x14ac:dyDescent="0.2">
      <c r="A32" s="20"/>
      <c r="B32" s="189">
        <v>2021</v>
      </c>
      <c r="C32" s="172">
        <v>1948.1369999999999</v>
      </c>
      <c r="D32" s="172">
        <v>52.533000000000001</v>
      </c>
      <c r="E32" s="172">
        <v>281.44099999999997</v>
      </c>
      <c r="F32" s="172">
        <v>153.39099999999999</v>
      </c>
      <c r="G32" s="172">
        <v>507.88799999999998</v>
      </c>
      <c r="H32" s="172">
        <v>288.827</v>
      </c>
      <c r="I32" s="172">
        <v>664.05700000000002</v>
      </c>
    </row>
    <row r="33" spans="1:10" s="101" customFormat="1" ht="15" customHeight="1" x14ac:dyDescent="0.2">
      <c r="A33" s="20"/>
      <c r="B33" s="189">
        <v>2022</v>
      </c>
      <c r="C33" s="172">
        <v>1965.4549999999999</v>
      </c>
      <c r="D33" s="172">
        <v>55.783000000000001</v>
      </c>
      <c r="E33" s="172">
        <v>276.56400000000002</v>
      </c>
      <c r="F33" s="172">
        <v>151.10499999999999</v>
      </c>
      <c r="G33" s="172">
        <v>524.79399999999998</v>
      </c>
      <c r="H33" s="172">
        <v>294.05700000000002</v>
      </c>
      <c r="I33" s="172">
        <v>663.15200000000004</v>
      </c>
    </row>
    <row r="34" spans="1:10" s="101" customFormat="1" ht="15" customHeight="1" x14ac:dyDescent="0.2">
      <c r="A34" s="20"/>
      <c r="B34" s="189">
        <v>2023</v>
      </c>
      <c r="C34" s="172">
        <v>1973.1</v>
      </c>
      <c r="D34" s="172">
        <v>59.273000000000003</v>
      </c>
      <c r="E34" s="172">
        <v>275.26900000000001</v>
      </c>
      <c r="F34" s="172">
        <v>148.56800000000001</v>
      </c>
      <c r="G34" s="172">
        <v>520.94899999999996</v>
      </c>
      <c r="H34" s="172">
        <v>295.93299999999999</v>
      </c>
      <c r="I34" s="172">
        <v>673.10799999999995</v>
      </c>
    </row>
    <row r="35" spans="1:10" s="101" customFormat="1" ht="15" customHeight="1" x14ac:dyDescent="0.2">
      <c r="A35" s="20"/>
      <c r="B35" s="189">
        <v>2024</v>
      </c>
      <c r="C35" s="172">
        <v>1974.059</v>
      </c>
      <c r="D35" s="172">
        <v>59.572000000000003</v>
      </c>
      <c r="E35" s="172">
        <v>272.60700000000003</v>
      </c>
      <c r="F35" s="172">
        <v>148.066</v>
      </c>
      <c r="G35" s="172">
        <v>514.75</v>
      </c>
      <c r="H35" s="172">
        <v>296.803</v>
      </c>
      <c r="I35" s="172">
        <v>682.26099999999997</v>
      </c>
    </row>
    <row r="36" spans="1:10" ht="15" customHeight="1" x14ac:dyDescent="0.2">
      <c r="A36" s="20"/>
      <c r="B36" s="189"/>
      <c r="C36" s="389" t="s">
        <v>27</v>
      </c>
      <c r="D36" s="389"/>
      <c r="E36" s="389"/>
      <c r="F36" s="389"/>
      <c r="G36" s="389"/>
      <c r="H36" s="389"/>
      <c r="I36" s="389"/>
      <c r="J36" s="103"/>
    </row>
    <row r="37" spans="1:10" ht="15" customHeight="1" x14ac:dyDescent="0.2">
      <c r="A37" s="20"/>
      <c r="B37" s="189">
        <v>2001</v>
      </c>
      <c r="C37" s="357">
        <v>-0.46357287266312142</v>
      </c>
      <c r="D37" s="357">
        <v>-2.727546931330167</v>
      </c>
      <c r="E37" s="357">
        <v>-1.6830551566264234</v>
      </c>
      <c r="F37" s="357">
        <v>-4.9556004894743495</v>
      </c>
      <c r="G37" s="357">
        <v>-0.21671774836579516</v>
      </c>
      <c r="H37" s="357">
        <v>1.835870869922303</v>
      </c>
      <c r="I37" s="357">
        <v>0.45857864918906444</v>
      </c>
    </row>
    <row r="38" spans="1:10" ht="15" customHeight="1" x14ac:dyDescent="0.2">
      <c r="A38" s="20"/>
      <c r="B38" s="189">
        <v>2002</v>
      </c>
      <c r="C38" s="357">
        <v>-1.1095976254535884</v>
      </c>
      <c r="D38" s="357">
        <v>-1.5459807453783014</v>
      </c>
      <c r="E38" s="357">
        <v>-2.2792129005144659</v>
      </c>
      <c r="F38" s="357">
        <v>-4.6170581917325251</v>
      </c>
      <c r="G38" s="357">
        <v>-1.3124440031963474</v>
      </c>
      <c r="H38" s="357">
        <v>-0.14930064435016277</v>
      </c>
      <c r="I38" s="357">
        <v>0.20491732467128543</v>
      </c>
    </row>
    <row r="39" spans="1:10" ht="15" customHeight="1" x14ac:dyDescent="0.2">
      <c r="A39" s="20"/>
      <c r="B39" s="189">
        <v>2003</v>
      </c>
      <c r="C39" s="357">
        <v>-2.1001196908852791</v>
      </c>
      <c r="D39" s="357">
        <v>-1.9317005864091215</v>
      </c>
      <c r="E39" s="357">
        <v>-2.5848584796051881</v>
      </c>
      <c r="F39" s="357">
        <v>-5.3393292814967879</v>
      </c>
      <c r="G39" s="357">
        <v>-2.7753083623529164</v>
      </c>
      <c r="H39" s="357">
        <v>-0.73395103403429118</v>
      </c>
      <c r="I39" s="357">
        <v>-1.0566318824186709</v>
      </c>
    </row>
    <row r="40" spans="1:10" ht="15" customHeight="1" x14ac:dyDescent="0.2">
      <c r="A40" s="20"/>
      <c r="B40" s="189">
        <v>2004</v>
      </c>
      <c r="C40" s="357">
        <v>-0.17441763888351147</v>
      </c>
      <c r="D40" s="357">
        <v>-1.4513144412668737</v>
      </c>
      <c r="E40" s="357">
        <v>-0.2082739960125366</v>
      </c>
      <c r="F40" s="357">
        <v>-3.4375214463821351</v>
      </c>
      <c r="G40" s="357">
        <v>-0.36827013983392476</v>
      </c>
      <c r="H40" s="357">
        <v>0.58833101756229667</v>
      </c>
      <c r="I40" s="357">
        <v>0.58885240873571831</v>
      </c>
    </row>
    <row r="41" spans="1:10" ht="15" customHeight="1" x14ac:dyDescent="0.2">
      <c r="A41" s="20"/>
      <c r="B41" s="189">
        <v>2005</v>
      </c>
      <c r="C41" s="357">
        <v>-0.72995129960173699</v>
      </c>
      <c r="D41" s="357">
        <v>-1.9087523277467398</v>
      </c>
      <c r="E41" s="357">
        <v>-2.9586685456394122</v>
      </c>
      <c r="F41" s="357">
        <v>-2.3137728712104888</v>
      </c>
      <c r="G41" s="357">
        <v>-0.69269349628031307</v>
      </c>
      <c r="H41" s="357">
        <v>0.72468276980642088</v>
      </c>
      <c r="I41" s="357">
        <v>0.19074612747247954</v>
      </c>
    </row>
    <row r="42" spans="1:10" ht="15" customHeight="1" x14ac:dyDescent="0.2">
      <c r="A42" s="20"/>
      <c r="B42" s="189"/>
      <c r="C42" s="357"/>
      <c r="D42" s="357"/>
      <c r="E42" s="357"/>
      <c r="F42" s="357"/>
      <c r="G42" s="357"/>
      <c r="H42" s="357"/>
      <c r="I42" s="357"/>
    </row>
    <row r="43" spans="1:10" ht="15" customHeight="1" x14ac:dyDescent="0.2">
      <c r="A43" s="20"/>
      <c r="B43" s="189">
        <v>2006</v>
      </c>
      <c r="C43" s="357">
        <v>2.4343186008828326</v>
      </c>
      <c r="D43" s="357">
        <v>-0.4429678848283487</v>
      </c>
      <c r="E43" s="357">
        <v>0.15404298497804803</v>
      </c>
      <c r="F43" s="357">
        <v>1.549679474224547</v>
      </c>
      <c r="G43" s="357">
        <v>1.2877237525482741</v>
      </c>
      <c r="H43" s="357">
        <v>5.6252007676531264</v>
      </c>
      <c r="I43" s="357">
        <v>3.6812563547452157</v>
      </c>
    </row>
    <row r="44" spans="1:10" ht="15" customHeight="1" x14ac:dyDescent="0.2">
      <c r="A44" s="20"/>
      <c r="B44" s="189">
        <v>2007</v>
      </c>
      <c r="C44" s="357">
        <v>1.7852282291668331</v>
      </c>
      <c r="D44" s="357">
        <v>1.6828221833783488</v>
      </c>
      <c r="E44" s="357">
        <v>1.714625524463969</v>
      </c>
      <c r="F44" s="357">
        <v>2.3921350103486674</v>
      </c>
      <c r="G44" s="357">
        <v>1.8995703398925343</v>
      </c>
      <c r="H44" s="357">
        <v>3.7098843171122695</v>
      </c>
      <c r="I44" s="357">
        <v>0.7791900226318802</v>
      </c>
    </row>
    <row r="45" spans="1:10" ht="15" customHeight="1" x14ac:dyDescent="0.2">
      <c r="A45" s="20"/>
      <c r="B45" s="189">
        <v>2008</v>
      </c>
      <c r="C45" s="357">
        <v>0.99249997990348504</v>
      </c>
      <c r="D45" s="357">
        <v>0.72356186219506924</v>
      </c>
      <c r="E45" s="357">
        <v>1.6536024136387937</v>
      </c>
      <c r="F45" s="357">
        <v>0.82876579203110623</v>
      </c>
      <c r="G45" s="357">
        <v>0.15284357486672207</v>
      </c>
      <c r="H45" s="357">
        <v>3.1440795211886012</v>
      </c>
      <c r="I45" s="357">
        <v>0.53651602183795433</v>
      </c>
    </row>
    <row r="46" spans="1:10" ht="15" customHeight="1" x14ac:dyDescent="0.2">
      <c r="A46" s="20"/>
      <c r="B46" s="189">
        <v>2009</v>
      </c>
      <c r="C46" s="357">
        <v>-1.8061411026179144</v>
      </c>
      <c r="D46" s="357">
        <v>-4.516539440203573</v>
      </c>
      <c r="E46" s="357">
        <v>-5.8393745961643617</v>
      </c>
      <c r="F46" s="357">
        <v>-0.36471304870809718</v>
      </c>
      <c r="G46" s="357">
        <v>-1.9757721626628495</v>
      </c>
      <c r="H46" s="357">
        <v>-0.5897468608190195</v>
      </c>
      <c r="I46" s="357">
        <v>-0.35851202694271933</v>
      </c>
    </row>
    <row r="47" spans="1:10" ht="15" customHeight="1" x14ac:dyDescent="0.2">
      <c r="A47" s="20"/>
      <c r="B47" s="189">
        <v>2010</v>
      </c>
      <c r="C47" s="357">
        <v>1.7197718643507045</v>
      </c>
      <c r="D47" s="357">
        <v>6.6589753172681583</v>
      </c>
      <c r="E47" s="357">
        <v>-0.39324953058900292</v>
      </c>
      <c r="F47" s="357">
        <v>2.7898589979724306</v>
      </c>
      <c r="G47" s="357">
        <v>-0.37682287582079255</v>
      </c>
      <c r="H47" s="357">
        <v>2.8136996447126563</v>
      </c>
      <c r="I47" s="357">
        <v>3.2107947196006279</v>
      </c>
    </row>
    <row r="48" spans="1:10" ht="15" customHeight="1" x14ac:dyDescent="0.2">
      <c r="A48" s="20"/>
      <c r="B48" s="189"/>
      <c r="C48" s="357"/>
      <c r="D48" s="357"/>
      <c r="E48" s="357"/>
      <c r="F48" s="357"/>
      <c r="G48" s="357"/>
      <c r="H48" s="357"/>
      <c r="I48" s="357"/>
    </row>
    <row r="49" spans="1:9" ht="15" customHeight="1" x14ac:dyDescent="0.2">
      <c r="A49" s="20"/>
      <c r="B49" s="189">
        <v>2011</v>
      </c>
      <c r="C49" s="357">
        <v>0.9903830522413557</v>
      </c>
      <c r="D49" s="357">
        <v>5.6932616279955681</v>
      </c>
      <c r="E49" s="357">
        <v>1.9232880238319723</v>
      </c>
      <c r="F49" s="357">
        <v>4.2763677977458627</v>
      </c>
      <c r="G49" s="357">
        <v>0.4142070491003409</v>
      </c>
      <c r="H49" s="357">
        <v>1.3943818181169831</v>
      </c>
      <c r="I49" s="357">
        <v>-0.30363222246943167</v>
      </c>
    </row>
    <row r="50" spans="1:9" ht="15" customHeight="1" x14ac:dyDescent="0.2">
      <c r="A50" s="20"/>
      <c r="B50" s="189">
        <v>2012</v>
      </c>
      <c r="C50" s="357">
        <v>-0.57602959371764939</v>
      </c>
      <c r="D50" s="357">
        <v>-2.4460908671586736</v>
      </c>
      <c r="E50" s="357">
        <v>-0.6840869926911779</v>
      </c>
      <c r="F50" s="357">
        <v>3.4807910297972029</v>
      </c>
      <c r="G50" s="357">
        <v>-0.52593068632307904</v>
      </c>
      <c r="H50" s="357">
        <v>-1.1515153646758307</v>
      </c>
      <c r="I50" s="357">
        <v>-1.0019715126061186</v>
      </c>
    </row>
    <row r="51" spans="1:9" ht="15" customHeight="1" x14ac:dyDescent="0.2">
      <c r="A51" s="20"/>
      <c r="B51" s="189">
        <v>2013</v>
      </c>
      <c r="C51" s="357">
        <v>-0.60661568237782149</v>
      </c>
      <c r="D51" s="357">
        <v>-5.3591217364322716</v>
      </c>
      <c r="E51" s="357">
        <v>0.50968132763946983</v>
      </c>
      <c r="F51" s="357">
        <v>-0.7326058441014851</v>
      </c>
      <c r="G51" s="357">
        <v>-0.10585902457914642</v>
      </c>
      <c r="H51" s="357">
        <v>-1.4086611847840373</v>
      </c>
      <c r="I51" s="357">
        <v>-0.59160178453565493</v>
      </c>
    </row>
    <row r="52" spans="1:9" ht="15" customHeight="1" x14ac:dyDescent="0.2">
      <c r="A52" s="20"/>
      <c r="B52" s="189">
        <v>2014</v>
      </c>
      <c r="C52" s="357">
        <v>1.1348241097156375</v>
      </c>
      <c r="D52" s="357">
        <v>-7.1613688877786927</v>
      </c>
      <c r="E52" s="357">
        <v>0.86872407314395161</v>
      </c>
      <c r="F52" s="357">
        <v>0.17501440881677865</v>
      </c>
      <c r="G52" s="357">
        <v>1.3852228609497956</v>
      </c>
      <c r="H52" s="357">
        <v>2.4371318858990634</v>
      </c>
      <c r="I52" s="357">
        <v>1.542783405086297</v>
      </c>
    </row>
    <row r="53" spans="1:9" ht="15" customHeight="1" x14ac:dyDescent="0.2">
      <c r="A53" s="20"/>
      <c r="B53" s="189">
        <v>2015</v>
      </c>
      <c r="C53" s="357">
        <v>0.70874128285066718</v>
      </c>
      <c r="D53" s="357">
        <v>-2.3812326578659793</v>
      </c>
      <c r="E53" s="357">
        <v>1.4938034818530497</v>
      </c>
      <c r="F53" s="357">
        <v>-0.3003024073307472</v>
      </c>
      <c r="G53" s="357">
        <v>0.1316148469232985</v>
      </c>
      <c r="H53" s="357">
        <v>0.64719332302239252</v>
      </c>
      <c r="I53" s="357">
        <v>1.4036694299852144</v>
      </c>
    </row>
    <row r="54" spans="1:9" ht="15" customHeight="1" x14ac:dyDescent="0.2">
      <c r="A54" s="20"/>
      <c r="B54" s="189"/>
      <c r="C54" s="357"/>
      <c r="D54" s="357"/>
      <c r="E54" s="357"/>
      <c r="F54" s="357"/>
      <c r="G54" s="357"/>
      <c r="H54" s="357"/>
      <c r="I54" s="357"/>
    </row>
    <row r="55" spans="1:9" ht="15" customHeight="1" x14ac:dyDescent="0.2">
      <c r="A55" s="20"/>
      <c r="B55" s="189">
        <v>2016</v>
      </c>
      <c r="C55" s="357">
        <v>1.4463924336438652</v>
      </c>
      <c r="D55" s="357">
        <v>-1.6589433065169175</v>
      </c>
      <c r="E55" s="357">
        <v>0.21659337863866313</v>
      </c>
      <c r="F55" s="357">
        <v>3.3942081002146551</v>
      </c>
      <c r="G55" s="357">
        <v>1.1919952872819835</v>
      </c>
      <c r="H55" s="357">
        <v>2.400604876819358</v>
      </c>
      <c r="I55" s="357">
        <v>1.6077898909497748</v>
      </c>
    </row>
    <row r="56" spans="1:9" ht="15" customHeight="1" x14ac:dyDescent="0.2">
      <c r="A56" s="20"/>
      <c r="B56" s="189">
        <v>2017</v>
      </c>
      <c r="C56" s="357">
        <v>0.76322034265058392</v>
      </c>
      <c r="D56" s="357">
        <v>-5.5652874610237291</v>
      </c>
      <c r="E56" s="357">
        <v>1.3322889696336659</v>
      </c>
      <c r="F56" s="357">
        <v>1.2265345294654111</v>
      </c>
      <c r="G56" s="357">
        <v>-5.9163182296558148E-2</v>
      </c>
      <c r="H56" s="357">
        <v>1.5700631717122064</v>
      </c>
      <c r="I56" s="357">
        <v>1.2839044166374123</v>
      </c>
    </row>
    <row r="57" spans="1:9" ht="15" customHeight="1" x14ac:dyDescent="0.2">
      <c r="A57" s="20"/>
      <c r="B57" s="189">
        <v>2018</v>
      </c>
      <c r="C57" s="357">
        <v>0.42478781061457482</v>
      </c>
      <c r="D57" s="357">
        <v>-0.62698250755904894</v>
      </c>
      <c r="E57" s="357">
        <v>1.3230031491554541</v>
      </c>
      <c r="F57" s="357">
        <v>0.33418504572351537</v>
      </c>
      <c r="G57" s="357">
        <v>0.50622055505907326</v>
      </c>
      <c r="H57" s="357">
        <v>3.6347848914104475E-2</v>
      </c>
      <c r="I57" s="357">
        <v>0.25802121131414424</v>
      </c>
    </row>
    <row r="58" spans="1:9" ht="15" customHeight="1" x14ac:dyDescent="0.2">
      <c r="B58" s="189">
        <v>2019</v>
      </c>
      <c r="C58" s="357">
        <v>0.66182715003452586</v>
      </c>
      <c r="D58" s="357">
        <v>-0.83067331205316464</v>
      </c>
      <c r="E58" s="357">
        <v>0.45419708480346799</v>
      </c>
      <c r="F58" s="357">
        <v>2.6324078355683298</v>
      </c>
      <c r="G58" s="357">
        <v>0.40531535120092599</v>
      </c>
      <c r="H58" s="357">
        <v>-0.83771535845134792</v>
      </c>
      <c r="I58" s="357">
        <v>1.3164218753598931</v>
      </c>
    </row>
    <row r="59" spans="1:9" ht="15" customHeight="1" x14ac:dyDescent="0.2">
      <c r="B59" s="189">
        <v>2020</v>
      </c>
      <c r="C59" s="357">
        <v>-3.9517335177104655</v>
      </c>
      <c r="D59" s="357">
        <v>-3.8361630839889926</v>
      </c>
      <c r="E59" s="357">
        <v>-3.4666676042373581</v>
      </c>
      <c r="F59" s="357">
        <v>-2.0157367201018701</v>
      </c>
      <c r="G59" s="357">
        <v>-6.1155421183849796</v>
      </c>
      <c r="H59" s="357">
        <v>-4.9825782789986022</v>
      </c>
      <c r="I59" s="357">
        <v>-2.4147933944420146</v>
      </c>
    </row>
    <row r="60" spans="1:9" ht="15" customHeight="1" x14ac:dyDescent="0.2">
      <c r="B60" s="189"/>
      <c r="C60" s="357"/>
      <c r="D60" s="357"/>
      <c r="E60" s="357"/>
      <c r="F60" s="357"/>
      <c r="G60" s="357"/>
      <c r="H60" s="357"/>
      <c r="I60" s="357"/>
    </row>
    <row r="61" spans="1:9" s="101" customFormat="1" ht="15" customHeight="1" x14ac:dyDescent="0.2">
      <c r="A61" s="20"/>
      <c r="B61" s="189">
        <v>2021</v>
      </c>
      <c r="C61" s="357">
        <v>2.5887622651564328</v>
      </c>
      <c r="D61" s="357">
        <v>2.8284528656435981</v>
      </c>
      <c r="E61" s="357">
        <v>2.5050716957492511</v>
      </c>
      <c r="F61" s="357">
        <v>2.2211411587519478</v>
      </c>
      <c r="G61" s="357">
        <v>1.7134892216000566</v>
      </c>
      <c r="H61" s="357">
        <v>3.1300323858016696</v>
      </c>
      <c r="I61" s="357">
        <v>3.1344593282857716</v>
      </c>
    </row>
    <row r="62" spans="1:9" s="101" customFormat="1" ht="15" customHeight="1" x14ac:dyDescent="0.2">
      <c r="A62" s="20"/>
      <c r="B62" s="189">
        <v>2022</v>
      </c>
      <c r="C62" s="357">
        <v>0.88895185502867946</v>
      </c>
      <c r="D62" s="357">
        <v>6.1865874783469508</v>
      </c>
      <c r="E62" s="357">
        <v>-1.7328676347795664</v>
      </c>
      <c r="F62" s="357">
        <v>-1.4903090794114462</v>
      </c>
      <c r="G62" s="357">
        <v>3.3286866395740873</v>
      </c>
      <c r="H62" s="357">
        <v>1.8107725385784619</v>
      </c>
      <c r="I62" s="357">
        <v>-0.13628348168906257</v>
      </c>
    </row>
    <row r="63" spans="1:9" s="101" customFormat="1" ht="15" customHeight="1" x14ac:dyDescent="0.2">
      <c r="A63" s="20"/>
      <c r="B63" s="189">
        <v>2023</v>
      </c>
      <c r="C63" s="357">
        <v>0.38896845768537958</v>
      </c>
      <c r="D63" s="357">
        <v>6.2563863542656435</v>
      </c>
      <c r="E63" s="357">
        <v>-0.46824604793104641</v>
      </c>
      <c r="F63" s="357">
        <v>-1.6789649581416768</v>
      </c>
      <c r="G63" s="357">
        <v>-0.73266843752026034</v>
      </c>
      <c r="H63" s="357">
        <v>0.63797154973354964</v>
      </c>
      <c r="I63" s="357">
        <v>1.5013149323231829</v>
      </c>
    </row>
    <row r="64" spans="1:9" s="101" customFormat="1" ht="15" customHeight="1" x14ac:dyDescent="0.2">
      <c r="A64" s="20"/>
      <c r="B64" s="189">
        <v>2024</v>
      </c>
      <c r="C64" s="357">
        <v>4.8603720034464004E-2</v>
      </c>
      <c r="D64" s="357">
        <v>0.50444553169234041</v>
      </c>
      <c r="E64" s="357">
        <v>-0.9670540453156633</v>
      </c>
      <c r="F64" s="357">
        <v>-0.33789241290183725</v>
      </c>
      <c r="G64" s="357">
        <v>-1.1899437372948114</v>
      </c>
      <c r="H64" s="357">
        <v>0.29398546292573258</v>
      </c>
      <c r="I64" s="357">
        <v>1.3598115012746774</v>
      </c>
    </row>
    <row r="65" spans="1:10" ht="15" customHeight="1" x14ac:dyDescent="0.2">
      <c r="A65" s="20"/>
      <c r="B65" s="189"/>
      <c r="C65" s="389" t="s">
        <v>28</v>
      </c>
      <c r="D65" s="389"/>
      <c r="E65" s="389"/>
      <c r="F65" s="389"/>
      <c r="G65" s="389"/>
      <c r="H65" s="389"/>
      <c r="I65" s="389"/>
      <c r="J65" s="103"/>
    </row>
    <row r="66" spans="1:10" ht="15" customHeight="1" x14ac:dyDescent="0.2">
      <c r="B66" s="189">
        <v>2000</v>
      </c>
      <c r="C66" s="111">
        <v>1458</v>
      </c>
      <c r="D66" s="111">
        <v>2020</v>
      </c>
      <c r="E66" s="111">
        <v>1539</v>
      </c>
      <c r="F66" s="111">
        <v>1640</v>
      </c>
      <c r="G66" s="111">
        <v>1465</v>
      </c>
      <c r="H66" s="111">
        <v>1452</v>
      </c>
      <c r="I66" s="111">
        <v>1333</v>
      </c>
      <c r="J66" s="45"/>
    </row>
    <row r="67" spans="1:10" ht="15" customHeight="1" x14ac:dyDescent="0.2">
      <c r="B67" s="189">
        <v>2001</v>
      </c>
      <c r="C67" s="111">
        <v>1448</v>
      </c>
      <c r="D67" s="111">
        <v>1986</v>
      </c>
      <c r="E67" s="111">
        <v>1514</v>
      </c>
      <c r="F67" s="111">
        <v>1634</v>
      </c>
      <c r="G67" s="111">
        <v>1459</v>
      </c>
      <c r="H67" s="111">
        <v>1449</v>
      </c>
      <c r="I67" s="111">
        <v>1330</v>
      </c>
      <c r="J67" s="45"/>
    </row>
    <row r="68" spans="1:10" ht="15" customHeight="1" x14ac:dyDescent="0.2">
      <c r="B68" s="189">
        <v>2002</v>
      </c>
      <c r="C68" s="111">
        <v>1442</v>
      </c>
      <c r="D68" s="111">
        <v>1970</v>
      </c>
      <c r="E68" s="111">
        <v>1510</v>
      </c>
      <c r="F68" s="111">
        <v>1634</v>
      </c>
      <c r="G68" s="111">
        <v>1449</v>
      </c>
      <c r="H68" s="111">
        <v>1440</v>
      </c>
      <c r="I68" s="111">
        <v>1329</v>
      </c>
      <c r="J68" s="45"/>
    </row>
    <row r="69" spans="1:10" ht="15" customHeight="1" x14ac:dyDescent="0.2">
      <c r="B69" s="189">
        <v>2003</v>
      </c>
      <c r="C69" s="111">
        <v>1433</v>
      </c>
      <c r="D69" s="111">
        <v>1939</v>
      </c>
      <c r="E69" s="111">
        <v>1510</v>
      </c>
      <c r="F69" s="111">
        <v>1628</v>
      </c>
      <c r="G69" s="111">
        <v>1441</v>
      </c>
      <c r="H69" s="111">
        <v>1423</v>
      </c>
      <c r="I69" s="111">
        <v>1321</v>
      </c>
      <c r="J69" s="45"/>
    </row>
    <row r="70" spans="1:10" ht="15" customHeight="1" x14ac:dyDescent="0.2">
      <c r="B70" s="189">
        <v>2004</v>
      </c>
      <c r="C70" s="111">
        <v>1429</v>
      </c>
      <c r="D70" s="111">
        <v>1895</v>
      </c>
      <c r="E70" s="111">
        <v>1532</v>
      </c>
      <c r="F70" s="111">
        <v>1642</v>
      </c>
      <c r="G70" s="111">
        <v>1435</v>
      </c>
      <c r="H70" s="111">
        <v>1403</v>
      </c>
      <c r="I70" s="111">
        <v>1318</v>
      </c>
      <c r="J70" s="45"/>
    </row>
    <row r="71" spans="1:10" ht="15" customHeight="1" x14ac:dyDescent="0.2">
      <c r="B71" s="189"/>
      <c r="C71" s="111"/>
      <c r="D71" s="111"/>
      <c r="E71" s="111"/>
      <c r="F71" s="111"/>
      <c r="G71" s="111"/>
      <c r="H71" s="111"/>
      <c r="I71" s="111"/>
      <c r="J71" s="45"/>
    </row>
    <row r="72" spans="1:10" ht="15" customHeight="1" x14ac:dyDescent="0.2">
      <c r="B72" s="189">
        <v>2005</v>
      </c>
      <c r="C72" s="111">
        <v>1422</v>
      </c>
      <c r="D72" s="111">
        <v>1893</v>
      </c>
      <c r="E72" s="111">
        <v>1522</v>
      </c>
      <c r="F72" s="111">
        <v>1637</v>
      </c>
      <c r="G72" s="111">
        <v>1428</v>
      </c>
      <c r="H72" s="111">
        <v>1398</v>
      </c>
      <c r="I72" s="111">
        <v>1313</v>
      </c>
      <c r="J72" s="45"/>
    </row>
    <row r="73" spans="1:10" ht="15" customHeight="1" x14ac:dyDescent="0.2">
      <c r="B73" s="189">
        <v>2006</v>
      </c>
      <c r="C73" s="111">
        <v>1445</v>
      </c>
      <c r="D73" s="111">
        <v>1897</v>
      </c>
      <c r="E73" s="111">
        <v>1540</v>
      </c>
      <c r="F73" s="111">
        <v>1668</v>
      </c>
      <c r="G73" s="111">
        <v>1441</v>
      </c>
      <c r="H73" s="111">
        <v>1430</v>
      </c>
      <c r="I73" s="111">
        <v>1345</v>
      </c>
      <c r="J73" s="45"/>
    </row>
    <row r="74" spans="1:10" ht="15" customHeight="1" x14ac:dyDescent="0.2">
      <c r="B74" s="189">
        <v>2007</v>
      </c>
      <c r="C74" s="111">
        <v>1447</v>
      </c>
      <c r="D74" s="111">
        <v>1903</v>
      </c>
      <c r="E74" s="111">
        <v>1539</v>
      </c>
      <c r="F74" s="111">
        <v>1674</v>
      </c>
      <c r="G74" s="111">
        <v>1444</v>
      </c>
      <c r="H74" s="111">
        <v>1437</v>
      </c>
      <c r="I74" s="111">
        <v>1344</v>
      </c>
      <c r="J74" s="45"/>
    </row>
    <row r="75" spans="1:10" ht="15" customHeight="1" x14ac:dyDescent="0.2">
      <c r="B75" s="189">
        <v>2008</v>
      </c>
      <c r="C75" s="111">
        <v>1440</v>
      </c>
      <c r="D75" s="111">
        <v>1902</v>
      </c>
      <c r="E75" s="111">
        <v>1529</v>
      </c>
      <c r="F75" s="111">
        <v>1678</v>
      </c>
      <c r="G75" s="111">
        <v>1433</v>
      </c>
      <c r="H75" s="111">
        <v>1425</v>
      </c>
      <c r="I75" s="111">
        <v>1342</v>
      </c>
      <c r="J75" s="45"/>
    </row>
    <row r="76" spans="1:10" ht="15" customHeight="1" x14ac:dyDescent="0.2">
      <c r="B76" s="189">
        <v>2009</v>
      </c>
      <c r="C76" s="111">
        <v>1408</v>
      </c>
      <c r="D76" s="111">
        <v>1876</v>
      </c>
      <c r="E76" s="111">
        <v>1459</v>
      </c>
      <c r="F76" s="111">
        <v>1638</v>
      </c>
      <c r="G76" s="111">
        <v>1405</v>
      </c>
      <c r="H76" s="111">
        <v>1390</v>
      </c>
      <c r="I76" s="111">
        <v>1324</v>
      </c>
      <c r="J76" s="45"/>
    </row>
    <row r="77" spans="1:10" ht="15" customHeight="1" x14ac:dyDescent="0.2">
      <c r="B77" s="189"/>
      <c r="C77" s="111"/>
      <c r="D77" s="111"/>
      <c r="E77" s="111"/>
      <c r="F77" s="111"/>
      <c r="G77" s="111"/>
      <c r="H77" s="111"/>
      <c r="I77" s="111"/>
      <c r="J77" s="45"/>
    </row>
    <row r="78" spans="1:10" ht="15" customHeight="1" x14ac:dyDescent="0.2">
      <c r="A78" s="20"/>
      <c r="B78" s="189">
        <v>2010</v>
      </c>
      <c r="C78" s="111">
        <v>1427</v>
      </c>
      <c r="D78" s="111">
        <v>1902</v>
      </c>
      <c r="E78" s="111">
        <v>1492</v>
      </c>
      <c r="F78" s="111">
        <v>1631</v>
      </c>
      <c r="G78" s="111">
        <v>1412</v>
      </c>
      <c r="H78" s="111">
        <v>1406</v>
      </c>
      <c r="I78" s="111">
        <v>1352</v>
      </c>
      <c r="J78" s="45"/>
    </row>
    <row r="79" spans="1:10" ht="15" customHeight="1" x14ac:dyDescent="0.2">
      <c r="A79" s="20"/>
      <c r="B79" s="189">
        <v>2011</v>
      </c>
      <c r="C79" s="111">
        <v>1427</v>
      </c>
      <c r="D79" s="111">
        <v>1892</v>
      </c>
      <c r="E79" s="111">
        <v>1506</v>
      </c>
      <c r="F79" s="111">
        <v>1645</v>
      </c>
      <c r="G79" s="111">
        <v>1405</v>
      </c>
      <c r="H79" s="111">
        <v>1409</v>
      </c>
      <c r="I79" s="111">
        <v>1346</v>
      </c>
      <c r="J79" s="45"/>
    </row>
    <row r="80" spans="1:10" ht="15" customHeight="1" x14ac:dyDescent="0.2">
      <c r="A80" s="20"/>
      <c r="B80" s="189">
        <v>2012</v>
      </c>
      <c r="C80" s="111">
        <v>1409</v>
      </c>
      <c r="D80" s="111">
        <v>1852</v>
      </c>
      <c r="E80" s="111">
        <v>1477</v>
      </c>
      <c r="F80" s="111">
        <v>1652</v>
      </c>
      <c r="G80" s="111">
        <v>1386</v>
      </c>
      <c r="H80" s="111">
        <v>1391</v>
      </c>
      <c r="I80" s="111">
        <v>1329</v>
      </c>
      <c r="J80" s="45"/>
    </row>
    <row r="81" spans="1:10" ht="15" customHeight="1" x14ac:dyDescent="0.2">
      <c r="A81" s="20"/>
      <c r="B81" s="189">
        <v>2013</v>
      </c>
      <c r="C81" s="111">
        <v>1394</v>
      </c>
      <c r="D81" s="111">
        <v>1810</v>
      </c>
      <c r="E81" s="111">
        <v>1475</v>
      </c>
      <c r="F81" s="111">
        <v>1624</v>
      </c>
      <c r="G81" s="111">
        <v>1368</v>
      </c>
      <c r="H81" s="111">
        <v>1378</v>
      </c>
      <c r="I81" s="111">
        <v>1317</v>
      </c>
      <c r="J81" s="45"/>
    </row>
    <row r="82" spans="1:10" ht="15" customHeight="1" x14ac:dyDescent="0.2">
      <c r="A82" s="20"/>
      <c r="B82" s="189">
        <v>2014</v>
      </c>
      <c r="C82" s="111">
        <v>1400</v>
      </c>
      <c r="D82" s="111">
        <v>1748</v>
      </c>
      <c r="E82" s="111">
        <v>1493</v>
      </c>
      <c r="F82" s="111">
        <v>1625</v>
      </c>
      <c r="G82" s="111">
        <v>1361</v>
      </c>
      <c r="H82" s="111">
        <v>1410</v>
      </c>
      <c r="I82" s="111">
        <v>1325</v>
      </c>
      <c r="J82" s="45"/>
    </row>
    <row r="83" spans="1:10" ht="15" customHeight="1" x14ac:dyDescent="0.2">
      <c r="A83" s="20"/>
      <c r="B83" s="189"/>
      <c r="C83" s="111"/>
      <c r="D83" s="111"/>
      <c r="E83" s="111"/>
      <c r="F83" s="111"/>
      <c r="G83" s="111"/>
      <c r="H83" s="111"/>
      <c r="I83" s="111"/>
      <c r="J83" s="45"/>
    </row>
    <row r="84" spans="1:10" ht="15" customHeight="1" x14ac:dyDescent="0.2">
      <c r="A84" s="20"/>
      <c r="B84" s="189">
        <v>2015</v>
      </c>
      <c r="C84" s="111">
        <v>1397</v>
      </c>
      <c r="D84" s="111">
        <v>1732</v>
      </c>
      <c r="E84" s="111">
        <v>1496</v>
      </c>
      <c r="F84" s="111">
        <v>1609</v>
      </c>
      <c r="G84" s="111">
        <v>1361</v>
      </c>
      <c r="H84" s="111">
        <v>1396</v>
      </c>
      <c r="I84" s="111">
        <v>1325</v>
      </c>
      <c r="J84" s="45"/>
    </row>
    <row r="85" spans="1:10" ht="15" customHeight="1" x14ac:dyDescent="0.2">
      <c r="A85" s="20"/>
      <c r="B85" s="189">
        <v>2016</v>
      </c>
      <c r="C85" s="111">
        <v>1396</v>
      </c>
      <c r="D85" s="111">
        <v>1733</v>
      </c>
      <c r="E85" s="111">
        <v>1492</v>
      </c>
      <c r="F85" s="111">
        <v>1628</v>
      </c>
      <c r="G85" s="111">
        <v>1361</v>
      </c>
      <c r="H85" s="111">
        <v>1396</v>
      </c>
      <c r="I85" s="111">
        <v>1322</v>
      </c>
      <c r="J85" s="45"/>
    </row>
    <row r="86" spans="1:10" ht="15" customHeight="1" x14ac:dyDescent="0.2">
      <c r="A86" s="20"/>
      <c r="B86" s="189">
        <v>2017</v>
      </c>
      <c r="C86" s="111">
        <v>1388</v>
      </c>
      <c r="D86" s="111">
        <v>1694</v>
      </c>
      <c r="E86" s="111">
        <v>1488</v>
      </c>
      <c r="F86" s="111">
        <v>1619</v>
      </c>
      <c r="G86" s="111">
        <v>1351</v>
      </c>
      <c r="H86" s="111">
        <v>1396</v>
      </c>
      <c r="I86" s="111">
        <v>1313</v>
      </c>
      <c r="J86" s="45"/>
    </row>
    <row r="87" spans="1:10" ht="15" customHeight="1" x14ac:dyDescent="0.2">
      <c r="A87" s="20"/>
      <c r="B87" s="189">
        <v>2018</v>
      </c>
      <c r="C87" s="111">
        <v>1377</v>
      </c>
      <c r="D87" s="111">
        <v>1670</v>
      </c>
      <c r="E87" s="111">
        <v>1472</v>
      </c>
      <c r="F87" s="111">
        <v>1605</v>
      </c>
      <c r="G87" s="111">
        <v>1345</v>
      </c>
      <c r="H87" s="111">
        <v>1378</v>
      </c>
      <c r="I87" s="111">
        <v>1304</v>
      </c>
      <c r="J87" s="45"/>
    </row>
    <row r="88" spans="1:10" ht="15" customHeight="1" x14ac:dyDescent="0.2">
      <c r="A88" s="20"/>
      <c r="B88" s="189">
        <v>2019</v>
      </c>
      <c r="C88" s="111">
        <v>1372</v>
      </c>
      <c r="D88" s="111">
        <v>1643</v>
      </c>
      <c r="E88" s="111">
        <v>1460</v>
      </c>
      <c r="F88" s="111">
        <v>1614</v>
      </c>
      <c r="G88" s="111">
        <v>1344</v>
      </c>
      <c r="H88" s="111">
        <v>1368</v>
      </c>
      <c r="I88" s="111">
        <v>1298</v>
      </c>
      <c r="J88" s="45"/>
    </row>
    <row r="89" spans="1:10" ht="15" customHeight="1" x14ac:dyDescent="0.2">
      <c r="A89" s="20"/>
      <c r="B89" s="189"/>
      <c r="C89" s="111"/>
      <c r="D89" s="111"/>
      <c r="E89" s="111"/>
      <c r="F89" s="111"/>
      <c r="G89" s="111"/>
      <c r="H89" s="111"/>
      <c r="I89" s="111"/>
      <c r="J89" s="45"/>
    </row>
    <row r="90" spans="1:10" ht="15" customHeight="1" x14ac:dyDescent="0.2">
      <c r="A90" s="20"/>
      <c r="B90" s="189">
        <v>2020</v>
      </c>
      <c r="C90" s="111">
        <v>1321</v>
      </c>
      <c r="D90" s="111">
        <v>1602</v>
      </c>
      <c r="E90" s="111">
        <v>1428</v>
      </c>
      <c r="F90" s="111">
        <v>1562</v>
      </c>
      <c r="G90" s="111">
        <v>1284</v>
      </c>
      <c r="H90" s="111">
        <v>1314</v>
      </c>
      <c r="I90" s="111">
        <v>1250</v>
      </c>
      <c r="J90" s="45"/>
    </row>
    <row r="91" spans="1:10" s="101" customFormat="1" ht="15" customHeight="1" x14ac:dyDescent="0.2">
      <c r="A91" s="20"/>
      <c r="B91" s="189">
        <v>2021</v>
      </c>
      <c r="C91" s="111">
        <v>1348</v>
      </c>
      <c r="D91" s="111">
        <v>1641</v>
      </c>
      <c r="E91" s="111">
        <v>1460</v>
      </c>
      <c r="F91" s="111">
        <v>1590</v>
      </c>
      <c r="G91" s="111">
        <v>1306</v>
      </c>
      <c r="H91" s="111">
        <v>1348</v>
      </c>
      <c r="I91" s="111">
        <v>1275</v>
      </c>
    </row>
    <row r="92" spans="1:10" s="101" customFormat="1" ht="15" customHeight="1" x14ac:dyDescent="0.2">
      <c r="A92" s="20"/>
      <c r="B92" s="189">
        <v>2022</v>
      </c>
      <c r="C92" s="111">
        <v>1343</v>
      </c>
      <c r="D92" s="111">
        <v>1656</v>
      </c>
      <c r="E92" s="111">
        <v>1434</v>
      </c>
      <c r="F92" s="111">
        <v>1574</v>
      </c>
      <c r="G92" s="111">
        <v>1331</v>
      </c>
      <c r="H92" s="111">
        <v>1347</v>
      </c>
      <c r="I92" s="111">
        <v>1256</v>
      </c>
    </row>
    <row r="93" spans="1:10" s="101" customFormat="1" ht="15" customHeight="1" x14ac:dyDescent="0.2">
      <c r="A93" s="20"/>
      <c r="B93" s="189">
        <v>2023</v>
      </c>
      <c r="C93" s="111">
        <v>1338</v>
      </c>
      <c r="D93" s="111">
        <v>1680</v>
      </c>
      <c r="E93" s="111">
        <v>1420</v>
      </c>
      <c r="F93" s="111">
        <v>1546</v>
      </c>
      <c r="G93" s="111">
        <v>1324</v>
      </c>
      <c r="H93" s="111">
        <v>1337</v>
      </c>
      <c r="I93" s="111">
        <v>1258</v>
      </c>
    </row>
    <row r="94" spans="1:10" s="101" customFormat="1" ht="15" customHeight="1" x14ac:dyDescent="0.2">
      <c r="A94" s="20"/>
      <c r="B94" s="189">
        <v>2024</v>
      </c>
      <c r="C94" s="111">
        <v>1332</v>
      </c>
      <c r="D94" s="111">
        <v>1679</v>
      </c>
      <c r="E94" s="111">
        <v>1412</v>
      </c>
      <c r="F94" s="111">
        <v>1544</v>
      </c>
      <c r="G94" s="111">
        <v>1311</v>
      </c>
      <c r="H94" s="111">
        <v>1342</v>
      </c>
      <c r="I94" s="111">
        <v>1255</v>
      </c>
    </row>
    <row r="95" spans="1:10" ht="15" customHeight="1" x14ac:dyDescent="0.2">
      <c r="A95" s="20"/>
      <c r="B95" s="189"/>
      <c r="C95" s="389" t="s">
        <v>27</v>
      </c>
      <c r="D95" s="389"/>
      <c r="E95" s="389"/>
      <c r="F95" s="389"/>
      <c r="G95" s="389"/>
      <c r="H95" s="389"/>
      <c r="I95" s="389"/>
      <c r="J95" s="103"/>
    </row>
    <row r="96" spans="1:10" ht="15" customHeight="1" x14ac:dyDescent="0.2">
      <c r="A96" s="20"/>
      <c r="B96" s="189">
        <v>2001</v>
      </c>
      <c r="C96" s="357">
        <v>-0.68587105624142453</v>
      </c>
      <c r="D96" s="357">
        <v>-1.6831683168316829</v>
      </c>
      <c r="E96" s="357">
        <v>-1.6244314489928513</v>
      </c>
      <c r="F96" s="357">
        <v>-0.36585365853657947</v>
      </c>
      <c r="G96" s="357">
        <v>-0.40955631399317838</v>
      </c>
      <c r="H96" s="357">
        <v>-0.20661157024792942</v>
      </c>
      <c r="I96" s="357">
        <v>-0.22505626406601209</v>
      </c>
      <c r="J96" s="9"/>
    </row>
    <row r="97" spans="1:10" ht="15" customHeight="1" x14ac:dyDescent="0.2">
      <c r="A97" s="20"/>
      <c r="B97" s="189">
        <v>2002</v>
      </c>
      <c r="C97" s="357">
        <v>-0.41436464088397429</v>
      </c>
      <c r="D97" s="357">
        <v>-0.80563947633433486</v>
      </c>
      <c r="E97" s="357">
        <v>-0.26420079260238083</v>
      </c>
      <c r="F97" s="357">
        <v>0</v>
      </c>
      <c r="G97" s="357">
        <v>-0.68540095956134905</v>
      </c>
      <c r="H97" s="357">
        <v>-0.62111801242235742</v>
      </c>
      <c r="I97" s="357">
        <v>-7.5187969924812137E-2</v>
      </c>
      <c r="J97" s="9"/>
    </row>
    <row r="98" spans="1:10" ht="15" customHeight="1" x14ac:dyDescent="0.2">
      <c r="A98" s="20"/>
      <c r="B98" s="189">
        <v>2003</v>
      </c>
      <c r="C98" s="357">
        <v>-0.62413314840499368</v>
      </c>
      <c r="D98" s="357">
        <v>-1.5736040609137092</v>
      </c>
      <c r="E98" s="357">
        <v>0</v>
      </c>
      <c r="F98" s="357">
        <v>-0.36719706242350014</v>
      </c>
      <c r="G98" s="357">
        <v>-0.55210489993098122</v>
      </c>
      <c r="H98" s="357">
        <v>-1.1805555555555571</v>
      </c>
      <c r="I98" s="357">
        <v>-0.60195635816403126</v>
      </c>
      <c r="J98" s="9"/>
    </row>
    <row r="99" spans="1:10" ht="15" customHeight="1" x14ac:dyDescent="0.2">
      <c r="A99" s="20"/>
      <c r="B99" s="189">
        <v>2004</v>
      </c>
      <c r="C99" s="357">
        <v>-0.27913468248429751</v>
      </c>
      <c r="D99" s="357">
        <v>-2.269210933470859</v>
      </c>
      <c r="E99" s="357">
        <v>1.4569536423841072</v>
      </c>
      <c r="F99" s="357">
        <v>0.85995085995085674</v>
      </c>
      <c r="G99" s="357">
        <v>-0.41637751561415826</v>
      </c>
      <c r="H99" s="357">
        <v>-1.4054813773717427</v>
      </c>
      <c r="I99" s="357">
        <v>-0.22710068130204775</v>
      </c>
      <c r="J99" s="9"/>
    </row>
    <row r="100" spans="1:10" ht="15" customHeight="1" x14ac:dyDescent="0.2">
      <c r="A100" s="20"/>
      <c r="B100" s="189">
        <v>2005</v>
      </c>
      <c r="C100" s="357">
        <v>-0.48985304408677166</v>
      </c>
      <c r="D100" s="357">
        <v>-0.10554089709762593</v>
      </c>
      <c r="E100" s="357">
        <v>-0.65274151436031502</v>
      </c>
      <c r="F100" s="357">
        <v>-0.30450669914738171</v>
      </c>
      <c r="G100" s="357">
        <v>-0.48780487804877737</v>
      </c>
      <c r="H100" s="357">
        <v>-0.3563791874554596</v>
      </c>
      <c r="I100" s="357">
        <v>-0.37936267071320628</v>
      </c>
      <c r="J100" s="9"/>
    </row>
    <row r="101" spans="1:10" ht="15" customHeight="1" x14ac:dyDescent="0.2">
      <c r="A101" s="20"/>
      <c r="B101" s="189"/>
      <c r="C101" s="357"/>
      <c r="D101" s="357"/>
      <c r="E101" s="357"/>
      <c r="F101" s="357"/>
      <c r="G101" s="357"/>
      <c r="H101" s="357"/>
      <c r="I101" s="357"/>
      <c r="J101" s="9"/>
    </row>
    <row r="102" spans="1:10" ht="15" customHeight="1" x14ac:dyDescent="0.2">
      <c r="A102" s="20"/>
      <c r="B102" s="189">
        <v>2006</v>
      </c>
      <c r="C102" s="357">
        <v>1.6174402250351676</v>
      </c>
      <c r="D102" s="357">
        <v>0.21130480718436218</v>
      </c>
      <c r="E102" s="357">
        <v>1.1826544021025001</v>
      </c>
      <c r="F102" s="357">
        <v>1.8937080024434891</v>
      </c>
      <c r="G102" s="357">
        <v>0.91036414565826362</v>
      </c>
      <c r="H102" s="357">
        <v>2.2889842632331892</v>
      </c>
      <c r="I102" s="357">
        <v>2.4371667936024437</v>
      </c>
      <c r="J102" s="9"/>
    </row>
    <row r="103" spans="1:10" ht="15" customHeight="1" x14ac:dyDescent="0.2">
      <c r="A103" s="20"/>
      <c r="B103" s="189">
        <v>2007</v>
      </c>
      <c r="C103" s="357">
        <v>0.13840830449827024</v>
      </c>
      <c r="D103" s="357">
        <v>0.31628887717448606</v>
      </c>
      <c r="E103" s="357">
        <v>-6.4935064935070841E-2</v>
      </c>
      <c r="F103" s="357">
        <v>0.35971223021583398</v>
      </c>
      <c r="G103" s="357">
        <v>0.20818875780707913</v>
      </c>
      <c r="H103" s="357">
        <v>0.48951048951049358</v>
      </c>
      <c r="I103" s="357">
        <v>-7.434944237918728E-2</v>
      </c>
      <c r="J103" s="9"/>
    </row>
    <row r="104" spans="1:10" ht="15" customHeight="1" x14ac:dyDescent="0.2">
      <c r="A104" s="20"/>
      <c r="B104" s="189">
        <v>2008</v>
      </c>
      <c r="C104" s="357">
        <v>-0.48375950241879195</v>
      </c>
      <c r="D104" s="357">
        <v>-5.2548607461901042E-2</v>
      </c>
      <c r="E104" s="357">
        <v>-0.64977257959714052</v>
      </c>
      <c r="F104" s="357">
        <v>0.23894862604539924</v>
      </c>
      <c r="G104" s="357">
        <v>-0.76177285318559029</v>
      </c>
      <c r="H104" s="357">
        <v>-0.83507306889352151</v>
      </c>
      <c r="I104" s="357">
        <v>-0.1488095238095184</v>
      </c>
      <c r="J104" s="9"/>
    </row>
    <row r="105" spans="1:10" ht="15" customHeight="1" x14ac:dyDescent="0.2">
      <c r="A105" s="20"/>
      <c r="B105" s="189">
        <v>2009</v>
      </c>
      <c r="C105" s="357">
        <v>-2.2222222222222285</v>
      </c>
      <c r="D105" s="357">
        <v>-1.3669821240799109</v>
      </c>
      <c r="E105" s="357">
        <v>-4.5781556572923421</v>
      </c>
      <c r="F105" s="357">
        <v>-2.3837902264600785</v>
      </c>
      <c r="G105" s="357">
        <v>-1.9539427773900968</v>
      </c>
      <c r="H105" s="357">
        <v>-2.4561403508771917</v>
      </c>
      <c r="I105" s="357">
        <v>-1.3412816691505185</v>
      </c>
      <c r="J105" s="9"/>
    </row>
    <row r="106" spans="1:10" ht="15" customHeight="1" x14ac:dyDescent="0.2">
      <c r="B106" s="189">
        <v>2010</v>
      </c>
      <c r="C106" s="357">
        <v>1.349431818181813</v>
      </c>
      <c r="D106" s="357">
        <v>1.3859275053304856</v>
      </c>
      <c r="E106" s="357">
        <v>2.261823166552432</v>
      </c>
      <c r="F106" s="357">
        <v>-0.42735042735043294</v>
      </c>
      <c r="G106" s="357">
        <v>0.49822064056940008</v>
      </c>
      <c r="H106" s="357">
        <v>1.1510791366906545</v>
      </c>
      <c r="I106" s="357">
        <v>2.1148036253776468</v>
      </c>
    </row>
    <row r="107" spans="1:10" ht="15" customHeight="1" x14ac:dyDescent="0.2">
      <c r="B107" s="189"/>
      <c r="C107" s="357"/>
      <c r="D107" s="357"/>
      <c r="E107" s="357"/>
      <c r="F107" s="357"/>
      <c r="G107" s="357"/>
      <c r="H107" s="357"/>
      <c r="I107" s="357"/>
    </row>
    <row r="108" spans="1:10" ht="15" customHeight="1" x14ac:dyDescent="0.2">
      <c r="B108" s="189">
        <v>2011</v>
      </c>
      <c r="C108" s="357">
        <v>0</v>
      </c>
      <c r="D108" s="357">
        <v>-0.52576235541535254</v>
      </c>
      <c r="E108" s="357">
        <v>0.93833780160858282</v>
      </c>
      <c r="F108" s="357">
        <v>0.85836909871244416</v>
      </c>
      <c r="G108" s="357">
        <v>-0.49575070821529721</v>
      </c>
      <c r="H108" s="357">
        <v>0.21337126600283796</v>
      </c>
      <c r="I108" s="357">
        <v>-0.44378698224852542</v>
      </c>
    </row>
    <row r="109" spans="1:10" ht="15" customHeight="1" x14ac:dyDescent="0.2">
      <c r="B109" s="189">
        <v>2012</v>
      </c>
      <c r="C109" s="357">
        <v>-1.2613875262789094</v>
      </c>
      <c r="D109" s="357">
        <v>-2.1141649048625766</v>
      </c>
      <c r="E109" s="357">
        <v>-1.9256308100929544</v>
      </c>
      <c r="F109" s="357">
        <v>0.42553191489361097</v>
      </c>
      <c r="G109" s="357">
        <v>-1.3523131672597799</v>
      </c>
      <c r="H109" s="357">
        <v>-1.2775017743080213</v>
      </c>
      <c r="I109" s="357">
        <v>-1.2630014858841037</v>
      </c>
    </row>
    <row r="110" spans="1:10" ht="15" customHeight="1" x14ac:dyDescent="0.2">
      <c r="B110" s="189">
        <v>2013</v>
      </c>
      <c r="C110" s="357">
        <v>-1.0645848119233534</v>
      </c>
      <c r="D110" s="357">
        <v>-2.2678185745140382</v>
      </c>
      <c r="E110" s="357">
        <v>-0.13540961408260443</v>
      </c>
      <c r="F110" s="357">
        <v>-1.6949152542372872</v>
      </c>
      <c r="G110" s="357">
        <v>-1.2987012987013031</v>
      </c>
      <c r="H110" s="357">
        <v>-0.93457943925233167</v>
      </c>
      <c r="I110" s="357">
        <v>-0.90293453724605399</v>
      </c>
    </row>
    <row r="111" spans="1:10" ht="15" customHeight="1" x14ac:dyDescent="0.2">
      <c r="B111" s="189">
        <v>2014</v>
      </c>
      <c r="C111" s="357">
        <v>0.43041606886657746</v>
      </c>
      <c r="D111" s="357">
        <v>-3.4254143646408863</v>
      </c>
      <c r="E111" s="357">
        <v>1.2203389830508513</v>
      </c>
      <c r="F111" s="357">
        <v>6.1576354679800716E-2</v>
      </c>
      <c r="G111" s="357">
        <v>-0.51169590643274887</v>
      </c>
      <c r="H111" s="357">
        <v>2.3222060957910031</v>
      </c>
      <c r="I111" s="357">
        <v>0.60744115413818633</v>
      </c>
    </row>
    <row r="112" spans="1:10" ht="15" customHeight="1" x14ac:dyDescent="0.2">
      <c r="B112" s="189">
        <v>2015</v>
      </c>
      <c r="C112" s="357">
        <v>-0.2142857142857082</v>
      </c>
      <c r="D112" s="357">
        <v>-0.9153318077803192</v>
      </c>
      <c r="E112" s="357">
        <v>0.20093770931011079</v>
      </c>
      <c r="F112" s="357">
        <v>-0.98461538461538112</v>
      </c>
      <c r="G112" s="357">
        <v>0</v>
      </c>
      <c r="H112" s="357">
        <v>-0.99290780141843982</v>
      </c>
      <c r="I112" s="357">
        <v>0</v>
      </c>
    </row>
    <row r="113" spans="1:10" ht="15" customHeight="1" x14ac:dyDescent="0.2">
      <c r="B113" s="189"/>
      <c r="C113" s="357"/>
      <c r="D113" s="357"/>
      <c r="E113" s="357"/>
      <c r="F113" s="357"/>
      <c r="G113" s="357"/>
      <c r="H113" s="357"/>
      <c r="I113" s="357"/>
    </row>
    <row r="114" spans="1:10" ht="15" customHeight="1" x14ac:dyDescent="0.2">
      <c r="B114" s="189">
        <v>2016</v>
      </c>
      <c r="C114" s="357">
        <v>-7.1581961345742684E-2</v>
      </c>
      <c r="D114" s="357">
        <v>5.7736720554274257E-2</v>
      </c>
      <c r="E114" s="357">
        <v>-0.26737967914438343</v>
      </c>
      <c r="F114" s="357">
        <v>1.1808576755748845</v>
      </c>
      <c r="G114" s="357">
        <v>0</v>
      </c>
      <c r="H114" s="357">
        <v>0</v>
      </c>
      <c r="I114" s="357">
        <v>-0.22641509433962881</v>
      </c>
    </row>
    <row r="115" spans="1:10" ht="15" customHeight="1" x14ac:dyDescent="0.2">
      <c r="B115" s="189">
        <v>2017</v>
      </c>
      <c r="C115" s="357">
        <v>-0.57306590257879009</v>
      </c>
      <c r="D115" s="357">
        <v>-2.2504327755337528</v>
      </c>
      <c r="E115" s="357">
        <v>-0.26809651474530938</v>
      </c>
      <c r="F115" s="357">
        <v>-0.55282555282555279</v>
      </c>
      <c r="G115" s="357">
        <v>-0.73475385745774702</v>
      </c>
      <c r="H115" s="357">
        <v>0</v>
      </c>
      <c r="I115" s="357">
        <v>-0.68078668683811827</v>
      </c>
    </row>
    <row r="116" spans="1:10" ht="15" customHeight="1" x14ac:dyDescent="0.2">
      <c r="B116" s="189">
        <v>2018</v>
      </c>
      <c r="C116" s="357">
        <v>-0.79250720461095625</v>
      </c>
      <c r="D116" s="357">
        <v>-1.4167650531286853</v>
      </c>
      <c r="E116" s="357">
        <v>-1.0752688172043037</v>
      </c>
      <c r="F116" s="357">
        <v>-0.86473131562692629</v>
      </c>
      <c r="G116" s="357">
        <v>-0.44411547002221141</v>
      </c>
      <c r="H116" s="357">
        <v>-1.2893982808022884</v>
      </c>
      <c r="I116" s="357">
        <v>-0.68545316070068907</v>
      </c>
    </row>
    <row r="117" spans="1:10" ht="15" customHeight="1" x14ac:dyDescent="0.2">
      <c r="B117" s="189">
        <v>2019</v>
      </c>
      <c r="C117" s="357">
        <v>-0.3631082062454567</v>
      </c>
      <c r="D117" s="357">
        <v>-1.6167664670658723</v>
      </c>
      <c r="E117" s="357">
        <v>-0.81521739130434412</v>
      </c>
      <c r="F117" s="357">
        <v>0.56074766355139616</v>
      </c>
      <c r="G117" s="357">
        <v>-7.434944237918728E-2</v>
      </c>
      <c r="H117" s="357">
        <v>-0.72568940493468403</v>
      </c>
      <c r="I117" s="357">
        <v>-0.46012269938650263</v>
      </c>
    </row>
    <row r="118" spans="1:10" ht="15" customHeight="1" x14ac:dyDescent="0.2">
      <c r="B118" s="189">
        <v>2020</v>
      </c>
      <c r="C118" s="357">
        <v>-3.7172011661807574</v>
      </c>
      <c r="D118" s="357">
        <v>-2.4954351795496024</v>
      </c>
      <c r="E118" s="357">
        <v>-2.1917808219178028</v>
      </c>
      <c r="F118" s="357">
        <v>-3.2218091697645548</v>
      </c>
      <c r="G118" s="357">
        <v>-4.4642857142857082</v>
      </c>
      <c r="H118" s="357">
        <v>-3.9473684210526301</v>
      </c>
      <c r="I118" s="357">
        <v>-3.6979969183359032</v>
      </c>
    </row>
    <row r="119" spans="1:10" ht="15" customHeight="1" x14ac:dyDescent="0.2">
      <c r="B119" s="189"/>
      <c r="C119" s="357"/>
      <c r="D119" s="357"/>
      <c r="E119" s="357"/>
      <c r="F119" s="357"/>
      <c r="G119" s="357"/>
      <c r="H119" s="357"/>
      <c r="I119" s="357"/>
    </row>
    <row r="120" spans="1:10" s="101" customFormat="1" ht="15" customHeight="1" x14ac:dyDescent="0.2">
      <c r="A120" s="20"/>
      <c r="B120" s="189">
        <v>2021</v>
      </c>
      <c r="C120" s="357">
        <v>2.0439061317184013</v>
      </c>
      <c r="D120" s="357">
        <v>2.434456928838955</v>
      </c>
      <c r="E120" s="357">
        <v>2.2408963585434236</v>
      </c>
      <c r="F120" s="357">
        <v>1.7925736235595338</v>
      </c>
      <c r="G120" s="357">
        <v>1.7133956386292795</v>
      </c>
      <c r="H120" s="357">
        <v>2.5875190258751957</v>
      </c>
      <c r="I120" s="357">
        <v>2</v>
      </c>
    </row>
    <row r="121" spans="1:10" s="101" customFormat="1" ht="15" customHeight="1" x14ac:dyDescent="0.2">
      <c r="A121" s="20"/>
      <c r="B121" s="189">
        <v>2022</v>
      </c>
      <c r="C121" s="357">
        <v>-0.37091988130563891</v>
      </c>
      <c r="D121" s="357">
        <v>0.91407678244972601</v>
      </c>
      <c r="E121" s="357">
        <v>-1.7808219178082254</v>
      </c>
      <c r="F121" s="357">
        <v>-1.0062893081761075</v>
      </c>
      <c r="G121" s="357">
        <v>1.914241960183773</v>
      </c>
      <c r="H121" s="357">
        <v>-7.418397626112494E-2</v>
      </c>
      <c r="I121" s="357">
        <v>-1.4901960784313673</v>
      </c>
    </row>
    <row r="122" spans="1:10" s="101" customFormat="1" ht="15" customHeight="1" x14ac:dyDescent="0.2">
      <c r="A122" s="20"/>
      <c r="B122" s="189">
        <v>2023</v>
      </c>
      <c r="C122" s="357">
        <v>-0.37230081906180601</v>
      </c>
      <c r="D122" s="357">
        <v>1.4492753623188435</v>
      </c>
      <c r="E122" s="357">
        <v>-0.97629009762900409</v>
      </c>
      <c r="F122" s="357">
        <v>-1.7789072426937764</v>
      </c>
      <c r="G122" s="357">
        <v>-0.5259203606311047</v>
      </c>
      <c r="H122" s="357">
        <v>-0.74239049740162955</v>
      </c>
      <c r="I122" s="357">
        <v>0.15923566878980466</v>
      </c>
    </row>
    <row r="123" spans="1:10" s="101" customFormat="1" ht="15" customHeight="1" x14ac:dyDescent="0.2">
      <c r="A123" s="20"/>
      <c r="B123" s="189">
        <v>2024</v>
      </c>
      <c r="C123" s="357">
        <v>-0.44843049327354834</v>
      </c>
      <c r="D123" s="357">
        <v>-5.9523809523810201E-2</v>
      </c>
      <c r="E123" s="357">
        <v>-0.56338028169014365</v>
      </c>
      <c r="F123" s="357">
        <v>-0.12936610608021226</v>
      </c>
      <c r="G123" s="357">
        <v>-0.98187311178247683</v>
      </c>
      <c r="H123" s="357">
        <v>0.37397157816006654</v>
      </c>
      <c r="I123" s="357">
        <v>-0.23847376788553731</v>
      </c>
    </row>
    <row r="124" spans="1:10" ht="15" customHeight="1" x14ac:dyDescent="0.2">
      <c r="A124" s="20"/>
      <c r="B124" s="189"/>
      <c r="C124" s="389" t="s">
        <v>29</v>
      </c>
      <c r="D124" s="389"/>
      <c r="E124" s="389"/>
      <c r="F124" s="389"/>
      <c r="G124" s="389"/>
      <c r="H124" s="389"/>
      <c r="I124" s="389"/>
      <c r="J124" s="103"/>
    </row>
    <row r="125" spans="1:10" ht="15" customHeight="1" x14ac:dyDescent="0.2">
      <c r="B125" s="189">
        <v>2000</v>
      </c>
      <c r="C125" s="173">
        <v>30.9</v>
      </c>
      <c r="D125" s="173">
        <v>17.239999999999998</v>
      </c>
      <c r="E125" s="173">
        <v>37.69</v>
      </c>
      <c r="F125" s="173">
        <v>17.829999999999998</v>
      </c>
      <c r="G125" s="173">
        <v>24.02</v>
      </c>
      <c r="H125" s="173">
        <v>62.44</v>
      </c>
      <c r="I125" s="173">
        <v>25.92</v>
      </c>
    </row>
    <row r="126" spans="1:10" ht="15" customHeight="1" x14ac:dyDescent="0.2">
      <c r="B126" s="189">
        <v>2001</v>
      </c>
      <c r="C126" s="173">
        <v>32.03</v>
      </c>
      <c r="D126" s="173">
        <v>19.760000000000002</v>
      </c>
      <c r="E126" s="173">
        <v>38.89</v>
      </c>
      <c r="F126" s="173">
        <v>17.61</v>
      </c>
      <c r="G126" s="173">
        <v>25.9</v>
      </c>
      <c r="H126" s="173">
        <v>62.29</v>
      </c>
      <c r="I126" s="173">
        <v>26.64</v>
      </c>
    </row>
    <row r="127" spans="1:10" ht="15" customHeight="1" x14ac:dyDescent="0.2">
      <c r="B127" s="189">
        <v>2002</v>
      </c>
      <c r="C127" s="173">
        <v>31.95</v>
      </c>
      <c r="D127" s="173">
        <v>15.73</v>
      </c>
      <c r="E127" s="173">
        <v>38.17</v>
      </c>
      <c r="F127" s="173">
        <v>18.23</v>
      </c>
      <c r="G127" s="173">
        <v>25.87</v>
      </c>
      <c r="H127" s="173">
        <v>62.07</v>
      </c>
      <c r="I127" s="173">
        <v>27.03</v>
      </c>
    </row>
    <row r="128" spans="1:10" ht="15" customHeight="1" x14ac:dyDescent="0.2">
      <c r="B128" s="189">
        <v>2003</v>
      </c>
      <c r="C128" s="173">
        <v>32.950000000000003</v>
      </c>
      <c r="D128" s="173">
        <v>15.6</v>
      </c>
      <c r="E128" s="173">
        <v>40.93</v>
      </c>
      <c r="F128" s="173">
        <v>18.68</v>
      </c>
      <c r="G128" s="173">
        <v>26.12</v>
      </c>
      <c r="H128" s="173">
        <v>63.63</v>
      </c>
      <c r="I128" s="173">
        <v>27.61</v>
      </c>
    </row>
    <row r="129" spans="2:9" ht="15" customHeight="1" x14ac:dyDescent="0.2">
      <c r="B129" s="189">
        <v>2004</v>
      </c>
      <c r="C129" s="173">
        <v>33.799999999999997</v>
      </c>
      <c r="D129" s="173">
        <v>17.28</v>
      </c>
      <c r="E129" s="173">
        <v>42.54</v>
      </c>
      <c r="F129" s="173">
        <v>18.170000000000002</v>
      </c>
      <c r="G129" s="173">
        <v>27.1</v>
      </c>
      <c r="H129" s="173">
        <v>63.94</v>
      </c>
      <c r="I129" s="173">
        <v>28.19</v>
      </c>
    </row>
    <row r="130" spans="2:9" ht="15" customHeight="1" x14ac:dyDescent="0.2">
      <c r="B130" s="189"/>
      <c r="C130" s="173"/>
      <c r="D130" s="173"/>
      <c r="E130" s="173"/>
      <c r="F130" s="173"/>
      <c r="G130" s="173"/>
      <c r="H130" s="173"/>
      <c r="I130" s="173"/>
    </row>
    <row r="131" spans="2:9" ht="15" customHeight="1" x14ac:dyDescent="0.2">
      <c r="B131" s="189">
        <v>2005</v>
      </c>
      <c r="C131" s="173">
        <v>34.28</v>
      </c>
      <c r="D131" s="173">
        <v>12.67</v>
      </c>
      <c r="E131" s="173">
        <v>43.66</v>
      </c>
      <c r="F131" s="173">
        <v>19.309999999999999</v>
      </c>
      <c r="G131" s="173">
        <v>27.57</v>
      </c>
      <c r="H131" s="173">
        <v>64.72</v>
      </c>
      <c r="I131" s="173">
        <v>28.57</v>
      </c>
    </row>
    <row r="132" spans="2:9" ht="15" customHeight="1" x14ac:dyDescent="0.2">
      <c r="B132" s="189">
        <v>2006</v>
      </c>
      <c r="C132" s="173">
        <v>34.42</v>
      </c>
      <c r="D132" s="173">
        <v>14.43</v>
      </c>
      <c r="E132" s="173">
        <v>47.2</v>
      </c>
      <c r="F132" s="173">
        <v>20.22</v>
      </c>
      <c r="G132" s="173">
        <v>27.37</v>
      </c>
      <c r="H132" s="173">
        <v>62.29</v>
      </c>
      <c r="I132" s="173">
        <v>27.83</v>
      </c>
    </row>
    <row r="133" spans="2:9" ht="15" customHeight="1" x14ac:dyDescent="0.2">
      <c r="B133" s="189">
        <v>2007</v>
      </c>
      <c r="C133" s="173">
        <v>34.42</v>
      </c>
      <c r="D133" s="173">
        <v>15.99</v>
      </c>
      <c r="E133" s="173">
        <v>46.63</v>
      </c>
      <c r="F133" s="173">
        <v>19.53</v>
      </c>
      <c r="G133" s="173">
        <v>27.57</v>
      </c>
      <c r="H133" s="173">
        <v>61.45</v>
      </c>
      <c r="I133" s="173">
        <v>28.01</v>
      </c>
    </row>
    <row r="134" spans="2:9" ht="15" customHeight="1" x14ac:dyDescent="0.2">
      <c r="B134" s="189">
        <v>2008</v>
      </c>
      <c r="C134" s="173">
        <v>35.119999999999997</v>
      </c>
      <c r="D134" s="173">
        <v>18.12</v>
      </c>
      <c r="E134" s="173">
        <v>46.89</v>
      </c>
      <c r="F134" s="173">
        <v>20.260000000000002</v>
      </c>
      <c r="G134" s="173">
        <v>29.3</v>
      </c>
      <c r="H134" s="173">
        <v>60.28</v>
      </c>
      <c r="I134" s="173">
        <v>28.34</v>
      </c>
    </row>
    <row r="135" spans="2:9" ht="15" customHeight="1" x14ac:dyDescent="0.2">
      <c r="B135" s="189">
        <v>2009</v>
      </c>
      <c r="C135" s="173">
        <v>34.71</v>
      </c>
      <c r="D135" s="173">
        <v>13.13</v>
      </c>
      <c r="E135" s="173">
        <v>43.16</v>
      </c>
      <c r="F135" s="173">
        <v>21.16</v>
      </c>
      <c r="G135" s="173">
        <v>29.36</v>
      </c>
      <c r="H135" s="173">
        <v>60.03</v>
      </c>
      <c r="I135" s="173">
        <v>29.26</v>
      </c>
    </row>
    <row r="136" spans="2:9" ht="15" customHeight="1" x14ac:dyDescent="0.2">
      <c r="B136" s="189"/>
      <c r="C136" s="173"/>
      <c r="D136" s="173"/>
      <c r="E136" s="173"/>
      <c r="F136" s="173"/>
      <c r="G136" s="173"/>
      <c r="H136" s="173"/>
      <c r="I136" s="173"/>
    </row>
    <row r="137" spans="2:9" ht="15" customHeight="1" x14ac:dyDescent="0.2">
      <c r="B137" s="189">
        <v>2010</v>
      </c>
      <c r="C137" s="173">
        <v>35.04</v>
      </c>
      <c r="D137" s="173">
        <v>14.56</v>
      </c>
      <c r="E137" s="173">
        <v>45.25</v>
      </c>
      <c r="F137" s="173">
        <v>22.28</v>
      </c>
      <c r="G137" s="173">
        <v>28.53</v>
      </c>
      <c r="H137" s="173">
        <v>61.84</v>
      </c>
      <c r="I137" s="173">
        <v>28.9</v>
      </c>
    </row>
    <row r="138" spans="2:9" ht="15" customHeight="1" x14ac:dyDescent="0.2">
      <c r="B138" s="189">
        <v>2011</v>
      </c>
      <c r="C138" s="173">
        <v>35.979999999999997</v>
      </c>
      <c r="D138" s="173">
        <v>16.79</v>
      </c>
      <c r="E138" s="173">
        <v>47.71</v>
      </c>
      <c r="F138" s="173">
        <v>22.04</v>
      </c>
      <c r="G138" s="173">
        <v>29.6</v>
      </c>
      <c r="H138" s="173">
        <v>60.78</v>
      </c>
      <c r="I138" s="173">
        <v>30.13</v>
      </c>
    </row>
    <row r="139" spans="2:9" ht="15" customHeight="1" x14ac:dyDescent="0.2">
      <c r="B139" s="189">
        <v>2012</v>
      </c>
      <c r="C139" s="173">
        <v>37.49</v>
      </c>
      <c r="D139" s="173">
        <v>16.809999999999999</v>
      </c>
      <c r="E139" s="173">
        <v>51.49</v>
      </c>
      <c r="F139" s="173">
        <v>23.28</v>
      </c>
      <c r="G139" s="173">
        <v>30.67</v>
      </c>
      <c r="H139" s="173">
        <v>63.25</v>
      </c>
      <c r="I139" s="173">
        <v>30.94</v>
      </c>
    </row>
    <row r="140" spans="2:9" ht="15" customHeight="1" x14ac:dyDescent="0.2">
      <c r="B140" s="189">
        <v>2013</v>
      </c>
      <c r="C140" s="173">
        <v>38.17</v>
      </c>
      <c r="D140" s="173">
        <v>18.36</v>
      </c>
      <c r="E140" s="173">
        <v>50.8</v>
      </c>
      <c r="F140" s="173">
        <v>24.6</v>
      </c>
      <c r="G140" s="173">
        <v>30.63</v>
      </c>
      <c r="H140" s="173">
        <v>66.17</v>
      </c>
      <c r="I140" s="173">
        <v>31.5</v>
      </c>
    </row>
    <row r="141" spans="2:9" ht="15" customHeight="1" x14ac:dyDescent="0.2">
      <c r="B141" s="189">
        <v>2014</v>
      </c>
      <c r="C141" s="173">
        <v>39.04</v>
      </c>
      <c r="D141" s="173">
        <v>21.09</v>
      </c>
      <c r="E141" s="173">
        <v>51.92</v>
      </c>
      <c r="F141" s="173">
        <v>25.01</v>
      </c>
      <c r="G141" s="173">
        <v>31.75</v>
      </c>
      <c r="H141" s="173">
        <v>66.36</v>
      </c>
      <c r="I141" s="173">
        <v>32</v>
      </c>
    </row>
    <row r="142" spans="2:9" ht="15" customHeight="1" x14ac:dyDescent="0.2">
      <c r="B142" s="189"/>
      <c r="C142" s="173"/>
      <c r="D142" s="173"/>
      <c r="E142" s="173"/>
      <c r="F142" s="173"/>
      <c r="G142" s="173"/>
      <c r="H142" s="173"/>
      <c r="I142" s="173"/>
    </row>
    <row r="143" spans="2:9" ht="15" customHeight="1" x14ac:dyDescent="0.2">
      <c r="B143" s="189">
        <v>2015</v>
      </c>
      <c r="C143" s="173">
        <v>39.72</v>
      </c>
      <c r="D143" s="173">
        <v>15.01</v>
      </c>
      <c r="E143" s="173">
        <v>50.9</v>
      </c>
      <c r="F143" s="173">
        <v>25.59</v>
      </c>
      <c r="G143" s="173">
        <v>33.03</v>
      </c>
      <c r="H143" s="173">
        <v>68.709999999999994</v>
      </c>
      <c r="I143" s="173">
        <v>32.72</v>
      </c>
    </row>
    <row r="144" spans="2:9" ht="15" customHeight="1" x14ac:dyDescent="0.2">
      <c r="B144" s="189">
        <v>2016</v>
      </c>
      <c r="C144" s="173">
        <v>40.4</v>
      </c>
      <c r="D144" s="173">
        <v>14.94</v>
      </c>
      <c r="E144" s="173">
        <v>53.85</v>
      </c>
      <c r="F144" s="173">
        <v>26.03</v>
      </c>
      <c r="G144" s="173">
        <v>33.35</v>
      </c>
      <c r="H144" s="173">
        <v>68.13</v>
      </c>
      <c r="I144" s="173">
        <v>33.32</v>
      </c>
    </row>
    <row r="145" spans="1:10" ht="15" customHeight="1" x14ac:dyDescent="0.2">
      <c r="B145" s="189">
        <v>2017</v>
      </c>
      <c r="C145" s="173">
        <v>42.61</v>
      </c>
      <c r="D145" s="173">
        <v>24.05</v>
      </c>
      <c r="E145" s="173">
        <v>57.06</v>
      </c>
      <c r="F145" s="173">
        <v>27.69</v>
      </c>
      <c r="G145" s="173">
        <v>36.729999999999997</v>
      </c>
      <c r="H145" s="173">
        <v>68.19</v>
      </c>
      <c r="I145" s="173">
        <v>34.409999999999997</v>
      </c>
    </row>
    <row r="146" spans="1:10" ht="15" customHeight="1" x14ac:dyDescent="0.2">
      <c r="B146" s="189">
        <v>2018</v>
      </c>
      <c r="C146" s="173">
        <v>43.6</v>
      </c>
      <c r="D146" s="173">
        <v>19.41</v>
      </c>
      <c r="E146" s="173">
        <v>57.22</v>
      </c>
      <c r="F146" s="173">
        <v>30.65</v>
      </c>
      <c r="G146" s="173">
        <v>37.82</v>
      </c>
      <c r="H146" s="173">
        <v>69.91</v>
      </c>
      <c r="I146" s="173">
        <v>35.33</v>
      </c>
    </row>
    <row r="147" spans="1:10" ht="15" customHeight="1" x14ac:dyDescent="0.2">
      <c r="B147" s="189">
        <v>2019</v>
      </c>
      <c r="C147" s="173">
        <v>45.31</v>
      </c>
      <c r="D147" s="173">
        <v>27.94</v>
      </c>
      <c r="E147" s="173">
        <v>59.62</v>
      </c>
      <c r="F147" s="173">
        <v>31.8</v>
      </c>
      <c r="G147" s="173">
        <v>39.119999999999997</v>
      </c>
      <c r="H147" s="173">
        <v>71.930000000000007</v>
      </c>
      <c r="I147" s="173">
        <v>36.770000000000003</v>
      </c>
    </row>
    <row r="148" spans="1:10" ht="15" customHeight="1" x14ac:dyDescent="0.2">
      <c r="B148" s="189"/>
      <c r="C148" s="173"/>
      <c r="D148" s="173"/>
      <c r="E148" s="173"/>
      <c r="F148" s="173"/>
      <c r="G148" s="173"/>
      <c r="H148" s="173"/>
      <c r="I148" s="173"/>
    </row>
    <row r="149" spans="1:10" s="101" customFormat="1" ht="15" customHeight="1" x14ac:dyDescent="0.2">
      <c r="A149" s="20"/>
      <c r="B149" s="189">
        <v>2020</v>
      </c>
      <c r="C149" s="174">
        <v>47.25</v>
      </c>
      <c r="D149" s="174">
        <v>28.26</v>
      </c>
      <c r="E149" s="174">
        <v>63.1</v>
      </c>
      <c r="F149" s="174">
        <v>35.159999999999997</v>
      </c>
      <c r="G149" s="174">
        <v>39.85</v>
      </c>
      <c r="H149" s="174">
        <v>76.260000000000005</v>
      </c>
      <c r="I149" s="174">
        <v>37.950000000000003</v>
      </c>
    </row>
    <row r="150" spans="1:10" s="101" customFormat="1" ht="15" customHeight="1" x14ac:dyDescent="0.2">
      <c r="A150" s="20"/>
      <c r="B150" s="189">
        <v>2021</v>
      </c>
      <c r="C150" s="174">
        <v>48.52</v>
      </c>
      <c r="D150" s="174">
        <v>26.36</v>
      </c>
      <c r="E150" s="174">
        <v>62.19</v>
      </c>
      <c r="F150" s="174">
        <v>35.200000000000003</v>
      </c>
      <c r="G150" s="174">
        <v>44.09</v>
      </c>
      <c r="H150" s="174">
        <v>77.77</v>
      </c>
      <c r="I150" s="174">
        <v>38.22</v>
      </c>
    </row>
    <row r="151" spans="1:10" s="101" customFormat="1" ht="15" customHeight="1" x14ac:dyDescent="0.2">
      <c r="A151" s="20"/>
      <c r="B151" s="189">
        <v>2022</v>
      </c>
      <c r="C151" s="174">
        <v>53.69</v>
      </c>
      <c r="D151" s="174">
        <v>40.93</v>
      </c>
      <c r="E151" s="174">
        <v>70.239999999999995</v>
      </c>
      <c r="F151" s="174">
        <v>39.11</v>
      </c>
      <c r="G151" s="174">
        <v>49.93</v>
      </c>
      <c r="H151" s="174">
        <v>81.23</v>
      </c>
      <c r="I151" s="174">
        <v>41.96</v>
      </c>
    </row>
    <row r="152" spans="1:10" s="101" customFormat="1" ht="15" customHeight="1" x14ac:dyDescent="0.2">
      <c r="A152" s="20"/>
      <c r="B152" s="189">
        <v>2023</v>
      </c>
      <c r="C152" s="174">
        <v>56.55</v>
      </c>
      <c r="D152" s="174">
        <v>29.01</v>
      </c>
      <c r="E152" s="174">
        <v>84.15</v>
      </c>
      <c r="F152" s="174">
        <v>46.15</v>
      </c>
      <c r="G152" s="174">
        <v>47.36</v>
      </c>
      <c r="H152" s="174">
        <v>86.56</v>
      </c>
      <c r="I152" s="174">
        <v>43.89</v>
      </c>
    </row>
    <row r="153" spans="1:10" s="101" customFormat="1" ht="15" customHeight="1" x14ac:dyDescent="0.2">
      <c r="A153" s="20"/>
      <c r="B153" s="189">
        <v>2024</v>
      </c>
      <c r="C153" s="174">
        <v>58.19</v>
      </c>
      <c r="D153" s="174">
        <v>30.46</v>
      </c>
      <c r="E153" s="174">
        <v>82.18</v>
      </c>
      <c r="F153" s="174">
        <v>47.58</v>
      </c>
      <c r="G153" s="174">
        <v>48.96</v>
      </c>
      <c r="H153" s="174">
        <v>89.98</v>
      </c>
      <c r="I153" s="174">
        <v>46.47</v>
      </c>
    </row>
    <row r="154" spans="1:10" ht="15" customHeight="1" x14ac:dyDescent="0.2">
      <c r="A154" s="20"/>
      <c r="B154" s="189"/>
      <c r="C154" s="389" t="s">
        <v>27</v>
      </c>
      <c r="D154" s="389"/>
      <c r="E154" s="389"/>
      <c r="F154" s="389"/>
      <c r="G154" s="389"/>
      <c r="H154" s="389"/>
      <c r="I154" s="389"/>
      <c r="J154" s="103"/>
    </row>
    <row r="155" spans="1:10" ht="15" customHeight="1" x14ac:dyDescent="0.2">
      <c r="B155" s="189">
        <v>2001</v>
      </c>
      <c r="C155" s="364">
        <v>3.6569579288025977</v>
      </c>
      <c r="D155" s="364">
        <v>14.617169373549913</v>
      </c>
      <c r="E155" s="364">
        <v>3.1838684001061353</v>
      </c>
      <c r="F155" s="364">
        <v>-1.2338754907459304</v>
      </c>
      <c r="G155" s="364">
        <v>7.8268109908409684</v>
      </c>
      <c r="H155" s="364">
        <v>-0.24023062139653462</v>
      </c>
      <c r="I155" s="364">
        <v>2.7777777777777715</v>
      </c>
    </row>
    <row r="156" spans="1:10" ht="15" customHeight="1" x14ac:dyDescent="0.2">
      <c r="B156" s="189">
        <v>2002</v>
      </c>
      <c r="C156" s="364">
        <v>-0.24976584452076622</v>
      </c>
      <c r="D156" s="364">
        <v>-20.394736842105274</v>
      </c>
      <c r="E156" s="364">
        <v>-1.8513756749807158</v>
      </c>
      <c r="F156" s="364">
        <v>3.5207268597387866</v>
      </c>
      <c r="G156" s="364">
        <v>-0.11583011583010716</v>
      </c>
      <c r="H156" s="364">
        <v>-0.35318670733664703</v>
      </c>
      <c r="I156" s="364">
        <v>1.4639639639639626</v>
      </c>
    </row>
    <row r="157" spans="1:10" ht="15" customHeight="1" x14ac:dyDescent="0.2">
      <c r="B157" s="189">
        <v>2003</v>
      </c>
      <c r="C157" s="364">
        <v>3.1298904538341361</v>
      </c>
      <c r="D157" s="364">
        <v>-0.8264462809917319</v>
      </c>
      <c r="E157" s="364">
        <v>7.2308095362850366</v>
      </c>
      <c r="F157" s="364">
        <v>2.4684585847504081</v>
      </c>
      <c r="G157" s="364">
        <v>0.96637031310397958</v>
      </c>
      <c r="H157" s="364">
        <v>2.5132914451425847</v>
      </c>
      <c r="I157" s="364">
        <v>2.145763965963738</v>
      </c>
    </row>
    <row r="158" spans="1:10" ht="15" customHeight="1" x14ac:dyDescent="0.2">
      <c r="B158" s="189">
        <v>2004</v>
      </c>
      <c r="C158" s="364">
        <v>2.5796661608497544</v>
      </c>
      <c r="D158" s="364">
        <v>10.769230769230774</v>
      </c>
      <c r="E158" s="364">
        <v>3.9335450769606695</v>
      </c>
      <c r="F158" s="364">
        <v>-2.7301927194860696</v>
      </c>
      <c r="G158" s="364">
        <v>3.7519142419601792</v>
      </c>
      <c r="H158" s="364">
        <v>0.48719157630048926</v>
      </c>
      <c r="I158" s="364">
        <v>2.1006881564650541</v>
      </c>
    </row>
    <row r="159" spans="1:10" ht="15" customHeight="1" x14ac:dyDescent="0.2">
      <c r="B159" s="189">
        <v>2005</v>
      </c>
      <c r="C159" s="364">
        <v>1.42011834319527</v>
      </c>
      <c r="D159" s="364">
        <v>-26.678240740740748</v>
      </c>
      <c r="E159" s="364">
        <v>2.6328161730136372</v>
      </c>
      <c r="F159" s="364">
        <v>6.2740781507979904</v>
      </c>
      <c r="G159" s="364">
        <v>1.73431734317343</v>
      </c>
      <c r="H159" s="364">
        <v>1.219893650297152</v>
      </c>
      <c r="I159" s="364">
        <v>1.3479957431713387</v>
      </c>
    </row>
    <row r="160" spans="1:10" ht="15" customHeight="1" x14ac:dyDescent="0.2">
      <c r="B160" s="189"/>
      <c r="C160" s="364"/>
      <c r="D160" s="364"/>
      <c r="E160" s="364"/>
      <c r="F160" s="364"/>
      <c r="G160" s="364"/>
      <c r="H160" s="364"/>
      <c r="I160" s="364"/>
    </row>
    <row r="161" spans="2:9" ht="15" customHeight="1" x14ac:dyDescent="0.2">
      <c r="B161" s="189">
        <v>2006</v>
      </c>
      <c r="C161" s="364">
        <v>0.40840140023337312</v>
      </c>
      <c r="D161" s="364">
        <v>13.891081294396216</v>
      </c>
      <c r="E161" s="364">
        <v>8.1081081081081123</v>
      </c>
      <c r="F161" s="364">
        <v>4.7125841532884607</v>
      </c>
      <c r="G161" s="364">
        <v>-0.7254261878853896</v>
      </c>
      <c r="H161" s="364">
        <v>-3.754635352286769</v>
      </c>
      <c r="I161" s="364">
        <v>-2.5901295064753214</v>
      </c>
    </row>
    <row r="162" spans="2:9" ht="15" customHeight="1" x14ac:dyDescent="0.2">
      <c r="B162" s="189">
        <v>2007</v>
      </c>
      <c r="C162" s="364">
        <v>0</v>
      </c>
      <c r="D162" s="364">
        <v>10.810810810810807</v>
      </c>
      <c r="E162" s="364">
        <v>-1.2076271186440692</v>
      </c>
      <c r="F162" s="364">
        <v>-3.4124629080118609</v>
      </c>
      <c r="G162" s="364">
        <v>0.73072707343806087</v>
      </c>
      <c r="H162" s="364">
        <v>-1.3485310643763029</v>
      </c>
      <c r="I162" s="364">
        <v>0.64678404599354167</v>
      </c>
    </row>
    <row r="163" spans="2:9" ht="15" customHeight="1" x14ac:dyDescent="0.2">
      <c r="B163" s="189">
        <v>2008</v>
      </c>
      <c r="C163" s="364">
        <v>2.0337013364322871</v>
      </c>
      <c r="D163" s="364">
        <v>13.320825515947462</v>
      </c>
      <c r="E163" s="364">
        <v>0.55758095646578454</v>
      </c>
      <c r="F163" s="364">
        <v>3.737839221710189</v>
      </c>
      <c r="G163" s="364">
        <v>6.2749365252085596</v>
      </c>
      <c r="H163" s="364">
        <v>-1.9039869812855983</v>
      </c>
      <c r="I163" s="364">
        <v>1.1781506604783942</v>
      </c>
    </row>
    <row r="164" spans="2:9" ht="15" customHeight="1" x14ac:dyDescent="0.2">
      <c r="B164" s="189">
        <v>2009</v>
      </c>
      <c r="C164" s="364">
        <v>-1.1674259681093275</v>
      </c>
      <c r="D164" s="364">
        <v>-27.53863134657837</v>
      </c>
      <c r="E164" s="364">
        <v>-7.9547878012369324</v>
      </c>
      <c r="F164" s="364">
        <v>4.4422507403751155</v>
      </c>
      <c r="G164" s="364">
        <v>0.20477815699658208</v>
      </c>
      <c r="H164" s="364">
        <v>-0.41473125414731271</v>
      </c>
      <c r="I164" s="364">
        <v>3.2462949894142525</v>
      </c>
    </row>
    <row r="165" spans="2:9" ht="15" customHeight="1" x14ac:dyDescent="0.2">
      <c r="B165" s="189">
        <v>2010</v>
      </c>
      <c r="C165" s="364">
        <v>0.95073465859982775</v>
      </c>
      <c r="D165" s="364">
        <v>10.89108910891089</v>
      </c>
      <c r="E165" s="364">
        <v>4.8424467099166009</v>
      </c>
      <c r="F165" s="364">
        <v>5.2930056710775091</v>
      </c>
      <c r="G165" s="364">
        <v>-2.8269754768392374</v>
      </c>
      <c r="H165" s="364">
        <v>3.0151590871231093</v>
      </c>
      <c r="I165" s="364">
        <v>-1.2303485987696519</v>
      </c>
    </row>
    <row r="166" spans="2:9" ht="15" customHeight="1" x14ac:dyDescent="0.2">
      <c r="B166" s="189"/>
      <c r="C166" s="364"/>
      <c r="D166" s="364"/>
      <c r="E166" s="364"/>
      <c r="F166" s="364"/>
      <c r="G166" s="364"/>
      <c r="H166" s="364"/>
      <c r="I166" s="364"/>
    </row>
    <row r="167" spans="2:9" ht="15" customHeight="1" x14ac:dyDescent="0.2">
      <c r="B167" s="189">
        <v>2011</v>
      </c>
      <c r="C167" s="364">
        <v>2.6826484018264694</v>
      </c>
      <c r="D167" s="364">
        <v>15.315934065934059</v>
      </c>
      <c r="E167" s="364">
        <v>5.4364640883977842</v>
      </c>
      <c r="F167" s="364">
        <v>-1.0771992818671521</v>
      </c>
      <c r="G167" s="364">
        <v>3.7504381352961786</v>
      </c>
      <c r="H167" s="364">
        <v>-1.714100905562745</v>
      </c>
      <c r="I167" s="364">
        <v>4.2560553633218063</v>
      </c>
    </row>
    <row r="168" spans="2:9" ht="15" customHeight="1" x14ac:dyDescent="0.2">
      <c r="B168" s="189">
        <v>2012</v>
      </c>
      <c r="C168" s="364">
        <v>4.1967759866592615</v>
      </c>
      <c r="D168" s="364">
        <v>0.11911852293030734</v>
      </c>
      <c r="E168" s="364">
        <v>7.9228673234122766</v>
      </c>
      <c r="F168" s="364">
        <v>5.6261343012704259</v>
      </c>
      <c r="G168" s="364">
        <v>3.614864864864856</v>
      </c>
      <c r="H168" s="364">
        <v>4.0638367884172339</v>
      </c>
      <c r="I168" s="364">
        <v>2.6883504812479231</v>
      </c>
    </row>
    <row r="169" spans="2:9" ht="15" customHeight="1" x14ac:dyDescent="0.2">
      <c r="B169" s="189">
        <v>2013</v>
      </c>
      <c r="C169" s="364">
        <v>1.813817017871429</v>
      </c>
      <c r="D169" s="364">
        <v>9.2207019631172074</v>
      </c>
      <c r="E169" s="364">
        <v>-1.3400660322392781</v>
      </c>
      <c r="F169" s="364">
        <v>5.6701030927835063</v>
      </c>
      <c r="G169" s="364">
        <v>-0.13042060645582865</v>
      </c>
      <c r="H169" s="364">
        <v>4.6166007905138287</v>
      </c>
      <c r="I169" s="364">
        <v>1.8099547511312153</v>
      </c>
    </row>
    <row r="170" spans="2:9" ht="15" customHeight="1" x14ac:dyDescent="0.2">
      <c r="B170" s="189">
        <v>2014</v>
      </c>
      <c r="C170" s="364">
        <v>2.2792769190463673</v>
      </c>
      <c r="D170" s="364">
        <v>14.869281045751634</v>
      </c>
      <c r="E170" s="364">
        <v>2.2047244094488292</v>
      </c>
      <c r="F170" s="364">
        <v>1.6666666666666572</v>
      </c>
      <c r="G170" s="364">
        <v>3.6565458700620326</v>
      </c>
      <c r="H170" s="364">
        <v>0.28713918694272422</v>
      </c>
      <c r="I170" s="364">
        <v>1.5873015873015817</v>
      </c>
    </row>
    <row r="171" spans="2:9" ht="15" customHeight="1" x14ac:dyDescent="0.2">
      <c r="B171" s="189">
        <v>2015</v>
      </c>
      <c r="C171" s="364">
        <v>1.741803278688522</v>
      </c>
      <c r="D171" s="364">
        <v>-28.828828828828833</v>
      </c>
      <c r="E171" s="364">
        <v>-1.9645608628659517</v>
      </c>
      <c r="F171" s="364">
        <v>2.3190723710515755</v>
      </c>
      <c r="G171" s="364">
        <v>4.031496062992133</v>
      </c>
      <c r="H171" s="364">
        <v>3.5412899336949835</v>
      </c>
      <c r="I171" s="364">
        <v>2.25</v>
      </c>
    </row>
    <row r="172" spans="2:9" ht="15" customHeight="1" x14ac:dyDescent="0.2">
      <c r="B172" s="189"/>
      <c r="C172" s="364"/>
      <c r="D172" s="364"/>
      <c r="E172" s="364"/>
      <c r="F172" s="364"/>
      <c r="G172" s="364"/>
      <c r="H172" s="364"/>
      <c r="I172" s="364"/>
    </row>
    <row r="173" spans="2:9" ht="15" customHeight="1" x14ac:dyDescent="0.2">
      <c r="B173" s="189">
        <v>2016</v>
      </c>
      <c r="C173" s="364">
        <v>1.7119838872104793</v>
      </c>
      <c r="D173" s="364">
        <v>-0.46635576282477587</v>
      </c>
      <c r="E173" s="364">
        <v>5.795677799607077</v>
      </c>
      <c r="F173" s="364">
        <v>1.7194216490816672</v>
      </c>
      <c r="G173" s="364">
        <v>0.96881622767180886</v>
      </c>
      <c r="H173" s="364">
        <v>-0.84412749235917772</v>
      </c>
      <c r="I173" s="364">
        <v>1.8337408312958416</v>
      </c>
    </row>
    <row r="174" spans="2:9" ht="15" customHeight="1" x14ac:dyDescent="0.2">
      <c r="B174" s="189">
        <v>2017</v>
      </c>
      <c r="C174" s="364">
        <v>5.4702970297029765</v>
      </c>
      <c r="D174" s="364">
        <v>60.977242302543516</v>
      </c>
      <c r="E174" s="364">
        <v>5.9610027855153191</v>
      </c>
      <c r="F174" s="364">
        <v>6.3772570111409834</v>
      </c>
      <c r="G174" s="364">
        <v>10.134932533733121</v>
      </c>
      <c r="H174" s="364">
        <v>8.806693086746975E-2</v>
      </c>
      <c r="I174" s="364">
        <v>3.2713085234093455</v>
      </c>
    </row>
    <row r="175" spans="2:9" ht="15" customHeight="1" x14ac:dyDescent="0.2">
      <c r="B175" s="189">
        <v>2018</v>
      </c>
      <c r="C175" s="364">
        <v>2.3233982633184667</v>
      </c>
      <c r="D175" s="364">
        <v>-19.293139293139291</v>
      </c>
      <c r="E175" s="364">
        <v>0.28040658955485753</v>
      </c>
      <c r="F175" s="364">
        <v>10.689779703864204</v>
      </c>
      <c r="G175" s="364">
        <v>2.9676014157364676</v>
      </c>
      <c r="H175" s="364">
        <v>2.5223639829887077</v>
      </c>
      <c r="I175" s="364">
        <v>2.6736413833188095</v>
      </c>
    </row>
    <row r="176" spans="2:9" ht="15" customHeight="1" x14ac:dyDescent="0.2">
      <c r="B176" s="189">
        <v>2019</v>
      </c>
      <c r="C176" s="364">
        <v>3.9220183486238511</v>
      </c>
      <c r="D176" s="364">
        <v>43.946419371458006</v>
      </c>
      <c r="E176" s="364">
        <v>4.194337644180365</v>
      </c>
      <c r="F176" s="364">
        <v>3.7520391517128928</v>
      </c>
      <c r="G176" s="364">
        <v>3.4373347435219301</v>
      </c>
      <c r="H176" s="364">
        <v>2.8894292661994143</v>
      </c>
      <c r="I176" s="364">
        <v>4.0758562128502831</v>
      </c>
    </row>
    <row r="177" spans="1:9" ht="15" customHeight="1" x14ac:dyDescent="0.2">
      <c r="B177" s="189">
        <v>2020</v>
      </c>
      <c r="C177" s="364">
        <v>4.2816155374089533</v>
      </c>
      <c r="D177" s="364">
        <v>1.1453113815318545</v>
      </c>
      <c r="E177" s="364">
        <v>5.8369674605837076</v>
      </c>
      <c r="F177" s="364">
        <v>10.566037735849036</v>
      </c>
      <c r="G177" s="364">
        <v>1.8660531697341582</v>
      </c>
      <c r="H177" s="364">
        <v>6.0197414152648463</v>
      </c>
      <c r="I177" s="364">
        <v>3.2091378841446812</v>
      </c>
    </row>
    <row r="178" spans="1:9" ht="15" customHeight="1" x14ac:dyDescent="0.2">
      <c r="B178" s="189"/>
      <c r="C178" s="364"/>
      <c r="D178" s="364"/>
      <c r="E178" s="364"/>
      <c r="F178" s="364"/>
      <c r="G178" s="364"/>
      <c r="H178" s="364"/>
      <c r="I178" s="364"/>
    </row>
    <row r="179" spans="1:9" ht="15" customHeight="1" x14ac:dyDescent="0.2">
      <c r="B179" s="189">
        <v>2021</v>
      </c>
      <c r="C179" s="364">
        <v>2.687830687830683</v>
      </c>
      <c r="D179" s="364">
        <v>-6.7232837933474912</v>
      </c>
      <c r="E179" s="364">
        <v>-1.4421553090332822</v>
      </c>
      <c r="F179" s="364">
        <v>0.11376564277590262</v>
      </c>
      <c r="G179" s="364">
        <v>10.639899623588448</v>
      </c>
      <c r="H179" s="364">
        <v>1.9800681877786417</v>
      </c>
      <c r="I179" s="364">
        <v>0.71146245059287594</v>
      </c>
    </row>
    <row r="180" spans="1:9" s="101" customFormat="1" ht="15" customHeight="1" x14ac:dyDescent="0.2">
      <c r="A180" s="20"/>
      <c r="B180" s="189">
        <v>2022</v>
      </c>
      <c r="C180" s="364">
        <v>10.655399835119525</v>
      </c>
      <c r="D180" s="364">
        <v>55.273141122913501</v>
      </c>
      <c r="E180" s="364">
        <v>12.944203248110625</v>
      </c>
      <c r="F180" s="364">
        <v>11.107954545454533</v>
      </c>
      <c r="G180" s="364">
        <v>13.245633930596497</v>
      </c>
      <c r="H180" s="364">
        <v>4.4490163302044579</v>
      </c>
      <c r="I180" s="364">
        <v>9.7854526425955015</v>
      </c>
    </row>
    <row r="181" spans="1:9" ht="15" customHeight="1" x14ac:dyDescent="0.2">
      <c r="B181" s="189">
        <v>2023</v>
      </c>
      <c r="C181" s="365">
        <v>5.3268765133172025</v>
      </c>
      <c r="D181" s="365">
        <v>-29.122892743708775</v>
      </c>
      <c r="E181" s="365">
        <v>19.803530751708436</v>
      </c>
      <c r="F181" s="365">
        <v>18.000511378164148</v>
      </c>
      <c r="G181" s="365">
        <v>-5.1472060885239301</v>
      </c>
      <c r="H181" s="365">
        <v>6.5616151668102844</v>
      </c>
      <c r="I181" s="365">
        <v>4.5996186844613902</v>
      </c>
    </row>
    <row r="182" spans="1:9" ht="15" customHeight="1" x14ac:dyDescent="0.2">
      <c r="B182" s="190">
        <v>2024</v>
      </c>
      <c r="C182" s="366">
        <v>2.9000884173297976</v>
      </c>
      <c r="D182" s="366">
        <v>4.9982764563943363</v>
      </c>
      <c r="E182" s="366">
        <v>-2.3410576351752894</v>
      </c>
      <c r="F182" s="366">
        <v>3.0985915492957758</v>
      </c>
      <c r="G182" s="366">
        <v>3.3783783783783861</v>
      </c>
      <c r="H182" s="366">
        <v>3.9510166358595171</v>
      </c>
      <c r="I182" s="366">
        <v>5.8783321941216684</v>
      </c>
    </row>
    <row r="183" spans="1:9" s="9" customFormat="1" x14ac:dyDescent="0.2">
      <c r="B183" s="102"/>
      <c r="C183" s="117"/>
      <c r="D183" s="117"/>
      <c r="E183" s="117"/>
      <c r="F183" s="117"/>
      <c r="G183" s="117"/>
      <c r="H183" s="117"/>
      <c r="I183" s="117"/>
    </row>
    <row r="184" spans="1:9" x14ac:dyDescent="0.2">
      <c r="B184" s="390" t="s">
        <v>176</v>
      </c>
      <c r="C184" s="390"/>
      <c r="D184" s="390"/>
      <c r="E184" s="390"/>
      <c r="F184" s="390"/>
      <c r="G184" s="390"/>
      <c r="H184" s="390"/>
      <c r="I184" s="390"/>
    </row>
    <row r="185" spans="1:9" x14ac:dyDescent="0.2">
      <c r="B185" s="99"/>
      <c r="C185" s="99"/>
      <c r="D185" s="99"/>
      <c r="E185" s="99"/>
      <c r="F185" s="99"/>
      <c r="G185" s="99"/>
      <c r="H185" s="99"/>
      <c r="I185" s="99"/>
    </row>
    <row r="186" spans="1:9" ht="21.75" customHeight="1" x14ac:dyDescent="0.2">
      <c r="B186" s="402" t="s">
        <v>220</v>
      </c>
      <c r="C186" s="402"/>
      <c r="D186" s="402"/>
      <c r="E186" s="402"/>
      <c r="F186" s="402"/>
      <c r="G186" s="402"/>
      <c r="H186" s="402"/>
      <c r="I186" s="402"/>
    </row>
    <row r="188" spans="1:9" x14ac:dyDescent="0.2">
      <c r="I188" s="107" t="s">
        <v>177</v>
      </c>
    </row>
  </sheetData>
  <mergeCells count="12">
    <mergeCell ref="B186:I186"/>
    <mergeCell ref="B3:I3"/>
    <mergeCell ref="B4:B5"/>
    <mergeCell ref="C4:C5"/>
    <mergeCell ref="D4:I4"/>
    <mergeCell ref="C6:I6"/>
    <mergeCell ref="C36:I36"/>
    <mergeCell ref="C65:I65"/>
    <mergeCell ref="C95:I95"/>
    <mergeCell ref="C124:I124"/>
    <mergeCell ref="C154:I154"/>
    <mergeCell ref="B184:I184"/>
  </mergeCells>
  <hyperlinks>
    <hyperlink ref="I188" location="Inhaltsverzeichnis!A1" display="› Zurück zum Inhaltsverzeichnis" xr:uid="{537E40B1-FFC7-414B-BA8C-78B088345569}"/>
  </hyperlinks>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2692E-3B1C-48D7-901B-E3D659C13149}">
  <sheetPr codeName="Tabelle15"/>
  <dimension ref="A1:H126"/>
  <sheetViews>
    <sheetView zoomScaleNormal="100" workbookViewId="0">
      <pane ySplit="5" topLeftCell="A113" activePane="bottomLeft" state="frozen"/>
      <selection pane="bottomLeft" activeCell="I114" sqref="I114"/>
    </sheetView>
  </sheetViews>
  <sheetFormatPr baseColWidth="10" defaultColWidth="11.375" defaultRowHeight="11.4" x14ac:dyDescent="0.2"/>
  <cols>
    <col min="1" max="1" width="2.75" style="9" customWidth="1"/>
    <col min="2" max="2" width="12.75" style="100" customWidth="1"/>
    <col min="3" max="7" width="14.25" style="100" customWidth="1"/>
    <col min="8" max="16384" width="11.375" style="100"/>
  </cols>
  <sheetData>
    <row r="1" spans="1:8" s="46" customFormat="1" ht="13.8" x14ac:dyDescent="0.2">
      <c r="C1" s="40"/>
      <c r="E1" s="41"/>
    </row>
    <row r="2" spans="1:8" s="95" customFormat="1" ht="20.100000000000001" customHeight="1" x14ac:dyDescent="0.25">
      <c r="A2" s="93"/>
      <c r="B2" s="97" t="s">
        <v>44</v>
      </c>
      <c r="C2" s="97"/>
      <c r="D2" s="97"/>
      <c r="E2" s="97"/>
      <c r="F2" s="97"/>
      <c r="G2" s="97"/>
    </row>
    <row r="3" spans="1:8" s="80" customFormat="1" ht="50.25" customHeight="1" x14ac:dyDescent="0.2">
      <c r="A3" s="65"/>
      <c r="B3" s="381" t="s">
        <v>211</v>
      </c>
      <c r="C3" s="381"/>
      <c r="D3" s="381"/>
      <c r="E3" s="381"/>
      <c r="F3" s="381"/>
      <c r="G3" s="381"/>
    </row>
    <row r="4" spans="1:8" ht="21" customHeight="1" x14ac:dyDescent="0.2">
      <c r="A4" s="5"/>
      <c r="B4" s="405" t="s">
        <v>0</v>
      </c>
      <c r="C4" s="383" t="s">
        <v>13</v>
      </c>
      <c r="D4" s="403" t="s">
        <v>30</v>
      </c>
      <c r="E4" s="403"/>
      <c r="F4" s="403"/>
      <c r="G4" s="401" t="s">
        <v>66</v>
      </c>
    </row>
    <row r="5" spans="1:8" ht="33" customHeight="1" x14ac:dyDescent="0.2">
      <c r="A5" s="5"/>
      <c r="B5" s="405"/>
      <c r="C5" s="406"/>
      <c r="D5" s="105" t="s">
        <v>31</v>
      </c>
      <c r="E5" s="105" t="s">
        <v>173</v>
      </c>
      <c r="F5" s="105" t="s">
        <v>32</v>
      </c>
      <c r="G5" s="407"/>
    </row>
    <row r="6" spans="1:8" ht="15" customHeight="1" x14ac:dyDescent="0.2">
      <c r="A6" s="20"/>
      <c r="B6" s="114" t="s">
        <v>33</v>
      </c>
      <c r="C6" s="380" t="s">
        <v>7</v>
      </c>
      <c r="D6" s="380"/>
      <c r="E6" s="380"/>
      <c r="F6" s="380"/>
      <c r="G6" s="380"/>
      <c r="H6" s="103"/>
    </row>
    <row r="7" spans="1:8" ht="15" customHeight="1" x14ac:dyDescent="0.2">
      <c r="A7" s="5"/>
      <c r="B7" s="115">
        <v>2000</v>
      </c>
      <c r="C7" s="111">
        <v>64399.133999999998</v>
      </c>
      <c r="D7" s="111">
        <v>54367.688999999998</v>
      </c>
      <c r="E7" s="111">
        <v>41139.741000000002</v>
      </c>
      <c r="F7" s="111">
        <v>13227.948</v>
      </c>
      <c r="G7" s="111">
        <v>14591.664000000001</v>
      </c>
    </row>
    <row r="8" spans="1:8" ht="15" customHeight="1" x14ac:dyDescent="0.2">
      <c r="A8" s="5"/>
      <c r="B8" s="115">
        <v>2001</v>
      </c>
      <c r="C8" s="111">
        <v>66343.141000000003</v>
      </c>
      <c r="D8" s="111">
        <v>55923.775000000001</v>
      </c>
      <c r="E8" s="111">
        <v>42407.868000000002</v>
      </c>
      <c r="F8" s="111">
        <v>13515.906999999999</v>
      </c>
      <c r="G8" s="111">
        <v>13488.195</v>
      </c>
    </row>
    <row r="9" spans="1:8" ht="15" customHeight="1" x14ac:dyDescent="0.2">
      <c r="A9" s="20"/>
      <c r="B9" s="115">
        <v>2002</v>
      </c>
      <c r="C9" s="111">
        <v>65417.1</v>
      </c>
      <c r="D9" s="111">
        <v>56894.222999999998</v>
      </c>
      <c r="E9" s="111">
        <v>43016.464</v>
      </c>
      <c r="F9" s="111">
        <v>13877.759</v>
      </c>
      <c r="G9" s="111">
        <v>11894.556</v>
      </c>
    </row>
    <row r="10" spans="1:8" ht="15" customHeight="1" x14ac:dyDescent="0.2">
      <c r="A10" s="20"/>
      <c r="B10" s="115">
        <v>2003</v>
      </c>
      <c r="C10" s="111">
        <v>66149.09</v>
      </c>
      <c r="D10" s="111">
        <v>58987.271999999997</v>
      </c>
      <c r="E10" s="111">
        <v>44759.964</v>
      </c>
      <c r="F10" s="111">
        <v>14227.308000000001</v>
      </c>
      <c r="G10" s="111">
        <v>11908.121999999999</v>
      </c>
    </row>
    <row r="11" spans="1:8" ht="15" customHeight="1" x14ac:dyDescent="0.2">
      <c r="A11" s="20"/>
      <c r="B11" s="115">
        <v>2004</v>
      </c>
      <c r="C11" s="111">
        <v>67530.331000000006</v>
      </c>
      <c r="D11" s="111">
        <v>59463.332999999999</v>
      </c>
      <c r="E11" s="111">
        <v>45350.843999999997</v>
      </c>
      <c r="F11" s="111">
        <v>14112.489</v>
      </c>
      <c r="G11" s="111">
        <v>11540.657999999999</v>
      </c>
    </row>
    <row r="12" spans="1:8" ht="15" customHeight="1" x14ac:dyDescent="0.2">
      <c r="A12" s="20"/>
      <c r="B12" s="115"/>
      <c r="C12" s="111"/>
      <c r="D12" s="111"/>
      <c r="E12" s="111"/>
      <c r="F12" s="111"/>
      <c r="G12" s="111"/>
    </row>
    <row r="13" spans="1:8" ht="15" customHeight="1" x14ac:dyDescent="0.2">
      <c r="A13" s="20"/>
      <c r="B13" s="115">
        <v>2005</v>
      </c>
      <c r="C13" s="111">
        <v>68106.017000000007</v>
      </c>
      <c r="D13" s="111">
        <v>61220.77</v>
      </c>
      <c r="E13" s="111">
        <v>46884.499000000003</v>
      </c>
      <c r="F13" s="111">
        <v>14336.271000000001</v>
      </c>
      <c r="G13" s="111">
        <v>11674.584999999999</v>
      </c>
    </row>
    <row r="14" spans="1:8" ht="15" customHeight="1" x14ac:dyDescent="0.2">
      <c r="A14" s="20"/>
      <c r="B14" s="115">
        <v>2006</v>
      </c>
      <c r="C14" s="111">
        <v>70063.600000000006</v>
      </c>
      <c r="D14" s="111">
        <v>62263.307000000001</v>
      </c>
      <c r="E14" s="111">
        <v>47547.292999999998</v>
      </c>
      <c r="F14" s="111">
        <v>14716.013999999999</v>
      </c>
      <c r="G14" s="111">
        <v>13724.557000000001</v>
      </c>
    </row>
    <row r="15" spans="1:8" ht="15" customHeight="1" x14ac:dyDescent="0.2">
      <c r="A15" s="20"/>
      <c r="B15" s="115">
        <v>2007</v>
      </c>
      <c r="C15" s="111">
        <v>71754.767000000007</v>
      </c>
      <c r="D15" s="111">
        <v>64056.273000000001</v>
      </c>
      <c r="E15" s="111">
        <v>48826.425000000003</v>
      </c>
      <c r="F15" s="111">
        <v>15229.848</v>
      </c>
      <c r="G15" s="111">
        <v>14056.527</v>
      </c>
    </row>
    <row r="16" spans="1:8" ht="15" customHeight="1" x14ac:dyDescent="0.2">
      <c r="A16" s="20"/>
      <c r="B16" s="115">
        <v>2008</v>
      </c>
      <c r="C16" s="111">
        <v>73974.327999999994</v>
      </c>
      <c r="D16" s="111">
        <v>65427.783000000003</v>
      </c>
      <c r="E16" s="111">
        <v>49549.68</v>
      </c>
      <c r="F16" s="111">
        <v>15878.102999999999</v>
      </c>
      <c r="G16" s="111">
        <v>14526.084999999999</v>
      </c>
    </row>
    <row r="17" spans="1:8" ht="15" customHeight="1" x14ac:dyDescent="0.2">
      <c r="A17" s="20"/>
      <c r="B17" s="115">
        <v>2009</v>
      </c>
      <c r="C17" s="111">
        <v>72039.316999999995</v>
      </c>
      <c r="D17" s="111">
        <v>66936.986999999994</v>
      </c>
      <c r="E17" s="111">
        <v>50553.002</v>
      </c>
      <c r="F17" s="111">
        <v>16383.985000000001</v>
      </c>
      <c r="G17" s="111">
        <v>13127.319</v>
      </c>
    </row>
    <row r="18" spans="1:8" ht="15" customHeight="1" x14ac:dyDescent="0.2">
      <c r="A18" s="20"/>
      <c r="B18" s="115"/>
      <c r="C18" s="111"/>
      <c r="D18" s="111"/>
      <c r="E18" s="111"/>
      <c r="F18" s="111"/>
      <c r="G18" s="111"/>
    </row>
    <row r="19" spans="1:8" ht="15" customHeight="1" x14ac:dyDescent="0.2">
      <c r="A19" s="20"/>
      <c r="B19" s="115">
        <v>2010</v>
      </c>
      <c r="C19" s="111">
        <v>73666.100999999995</v>
      </c>
      <c r="D19" s="111">
        <v>67949.508000000002</v>
      </c>
      <c r="E19" s="111">
        <v>51145.383000000002</v>
      </c>
      <c r="F19" s="111">
        <v>16804.125</v>
      </c>
      <c r="G19" s="111">
        <v>15434.751</v>
      </c>
    </row>
    <row r="20" spans="1:8" ht="15" customHeight="1" x14ac:dyDescent="0.2">
      <c r="A20" s="20"/>
      <c r="B20" s="115">
        <v>2011</v>
      </c>
      <c r="C20" s="111">
        <v>76633.493000000002</v>
      </c>
      <c r="D20" s="111">
        <v>70062.736999999994</v>
      </c>
      <c r="E20" s="111">
        <v>52734.495000000003</v>
      </c>
      <c r="F20" s="111">
        <v>17328.241999999998</v>
      </c>
      <c r="G20" s="111">
        <v>17194.465</v>
      </c>
    </row>
    <row r="21" spans="1:8" ht="15" customHeight="1" x14ac:dyDescent="0.2">
      <c r="A21" s="20"/>
      <c r="B21" s="115">
        <v>2012</v>
      </c>
      <c r="C21" s="111">
        <v>79364.194000000003</v>
      </c>
      <c r="D21" s="111">
        <v>72478.085000000006</v>
      </c>
      <c r="E21" s="111">
        <v>54639.811000000002</v>
      </c>
      <c r="F21" s="111">
        <v>17838.274000000001</v>
      </c>
      <c r="G21" s="111">
        <v>16936.063999999998</v>
      </c>
    </row>
    <row r="22" spans="1:8" ht="15" customHeight="1" x14ac:dyDescent="0.2">
      <c r="A22" s="20"/>
      <c r="B22" s="115">
        <v>2013</v>
      </c>
      <c r="C22" s="111">
        <v>80405.153000000006</v>
      </c>
      <c r="D22" s="111">
        <v>74136.957999999999</v>
      </c>
      <c r="E22" s="111">
        <v>55721.669000000002</v>
      </c>
      <c r="F22" s="111">
        <v>18415.289000000001</v>
      </c>
      <c r="G22" s="111">
        <v>15023.618</v>
      </c>
    </row>
    <row r="23" spans="1:8" ht="15" customHeight="1" x14ac:dyDescent="0.2">
      <c r="A23" s="20"/>
      <c r="B23" s="115">
        <v>2014</v>
      </c>
      <c r="C23" s="111">
        <v>83147.900999999998</v>
      </c>
      <c r="D23" s="111">
        <v>75671.595000000001</v>
      </c>
      <c r="E23" s="111">
        <v>56518.432999999997</v>
      </c>
      <c r="F23" s="111">
        <v>19153.162</v>
      </c>
      <c r="G23" s="111">
        <v>17834.275000000001</v>
      </c>
    </row>
    <row r="24" spans="1:8" ht="15" customHeight="1" x14ac:dyDescent="0.2">
      <c r="A24" s="20"/>
      <c r="B24" s="115"/>
      <c r="C24" s="111"/>
      <c r="D24" s="111"/>
      <c r="E24" s="111"/>
      <c r="F24" s="111"/>
      <c r="G24" s="111"/>
    </row>
    <row r="25" spans="1:8" ht="15" customHeight="1" x14ac:dyDescent="0.2">
      <c r="A25" s="20"/>
      <c r="B25" s="115">
        <v>2015</v>
      </c>
      <c r="C25" s="111">
        <v>85222.933000000005</v>
      </c>
      <c r="D25" s="111">
        <v>78770.967000000004</v>
      </c>
      <c r="E25" s="111">
        <v>58805.866999999998</v>
      </c>
      <c r="F25" s="111">
        <v>19965.099999999999</v>
      </c>
      <c r="G25" s="111">
        <v>17516.103999999999</v>
      </c>
    </row>
    <row r="26" spans="1:8" ht="15" customHeight="1" x14ac:dyDescent="0.2">
      <c r="A26" s="20"/>
      <c r="B26" s="115">
        <v>2016</v>
      </c>
      <c r="C26" s="111">
        <v>87838.857000000004</v>
      </c>
      <c r="D26" s="111">
        <v>81289.827000000005</v>
      </c>
      <c r="E26" s="111">
        <v>60273.868000000002</v>
      </c>
      <c r="F26" s="111">
        <v>21015.958999999999</v>
      </c>
      <c r="G26" s="111">
        <v>20343.388999999999</v>
      </c>
    </row>
    <row r="27" spans="1:8" ht="15" customHeight="1" x14ac:dyDescent="0.2">
      <c r="A27" s="20"/>
      <c r="B27" s="115">
        <v>2017</v>
      </c>
      <c r="C27" s="111">
        <v>93295.354000000007</v>
      </c>
      <c r="D27" s="111">
        <v>84945.361000000004</v>
      </c>
      <c r="E27" s="111">
        <v>63053.597000000002</v>
      </c>
      <c r="F27" s="111">
        <v>21891.763999999999</v>
      </c>
      <c r="G27" s="111">
        <v>19995.749</v>
      </c>
    </row>
    <row r="28" spans="1:8" ht="15" customHeight="1" x14ac:dyDescent="0.2">
      <c r="A28" s="20"/>
      <c r="B28" s="115">
        <v>2018</v>
      </c>
      <c r="C28" s="111">
        <v>95818.945000000007</v>
      </c>
      <c r="D28" s="111">
        <v>87212.437000000005</v>
      </c>
      <c r="E28" s="111">
        <v>64614.415999999997</v>
      </c>
      <c r="F28" s="111">
        <v>22598.021000000001</v>
      </c>
      <c r="G28" s="111">
        <v>20673.932000000001</v>
      </c>
    </row>
    <row r="29" spans="1:8" ht="15" customHeight="1" x14ac:dyDescent="0.2">
      <c r="A29" s="20"/>
      <c r="B29" s="115">
        <v>2019</v>
      </c>
      <c r="C29" s="111">
        <v>100226.246</v>
      </c>
      <c r="D29" s="111">
        <v>90352.510999999999</v>
      </c>
      <c r="E29" s="111">
        <v>66598.179000000004</v>
      </c>
      <c r="F29" s="111">
        <v>23754.331999999999</v>
      </c>
      <c r="G29" s="111">
        <v>23216.919000000002</v>
      </c>
    </row>
    <row r="30" spans="1:8" ht="15" customHeight="1" x14ac:dyDescent="0.2">
      <c r="A30" s="20"/>
      <c r="B30" s="115"/>
      <c r="C30" s="111"/>
      <c r="D30" s="111"/>
      <c r="E30" s="111"/>
      <c r="F30" s="111"/>
      <c r="G30" s="111"/>
    </row>
    <row r="31" spans="1:8" ht="15" customHeight="1" x14ac:dyDescent="0.2">
      <c r="A31" s="20"/>
      <c r="B31" s="115">
        <v>2020</v>
      </c>
      <c r="C31" s="111">
        <v>99888.267000000007</v>
      </c>
      <c r="D31" s="111">
        <v>89062.172999999995</v>
      </c>
      <c r="E31" s="111">
        <v>63076.578000000001</v>
      </c>
      <c r="F31" s="111">
        <v>25985.595000000001</v>
      </c>
      <c r="G31" s="111">
        <v>22734.649000000001</v>
      </c>
      <c r="H31" s="103"/>
    </row>
    <row r="32" spans="1:8" ht="15" customHeight="1" x14ac:dyDescent="0.2">
      <c r="A32" s="20"/>
      <c r="B32" s="115">
        <v>2021</v>
      </c>
      <c r="C32" s="111">
        <v>105676.333</v>
      </c>
      <c r="D32" s="111">
        <v>94913.914999999994</v>
      </c>
      <c r="E32" s="111">
        <v>67174.879000000001</v>
      </c>
      <c r="F32" s="111">
        <v>27739.036</v>
      </c>
      <c r="G32" s="111">
        <v>22963.921999999999</v>
      </c>
      <c r="H32" s="103"/>
    </row>
    <row r="33" spans="1:8" ht="15" customHeight="1" x14ac:dyDescent="0.2">
      <c r="A33" s="20"/>
      <c r="B33" s="115">
        <v>2022</v>
      </c>
      <c r="C33" s="111">
        <v>117110.932</v>
      </c>
      <c r="D33" s="111">
        <v>106018.094</v>
      </c>
      <c r="E33" s="111">
        <v>76423.997000000003</v>
      </c>
      <c r="F33" s="111">
        <v>29594.097000000002</v>
      </c>
      <c r="G33" s="111">
        <v>27196.062999999998</v>
      </c>
      <c r="H33" s="103"/>
    </row>
    <row r="34" spans="1:8" ht="15" customHeight="1" x14ac:dyDescent="0.2">
      <c r="A34" s="20"/>
      <c r="B34" s="115">
        <v>2023</v>
      </c>
      <c r="C34" s="111">
        <v>122223.094</v>
      </c>
      <c r="D34" s="111" t="s">
        <v>77</v>
      </c>
      <c r="E34" s="111">
        <v>80319.205000000002</v>
      </c>
      <c r="F34" s="111" t="s">
        <v>77</v>
      </c>
      <c r="G34" s="111" t="s">
        <v>77</v>
      </c>
      <c r="H34" s="103"/>
    </row>
    <row r="35" spans="1:8" ht="15" customHeight="1" x14ac:dyDescent="0.2">
      <c r="A35" s="20"/>
      <c r="B35" s="115"/>
      <c r="C35" s="389" t="s">
        <v>8</v>
      </c>
      <c r="D35" s="389"/>
      <c r="E35" s="389"/>
      <c r="F35" s="389"/>
      <c r="G35" s="389"/>
    </row>
    <row r="36" spans="1:8" ht="15" customHeight="1" x14ac:dyDescent="0.2">
      <c r="A36" s="20"/>
      <c r="B36" s="115">
        <v>2001</v>
      </c>
      <c r="C36" s="363">
        <v>3.0186850028138679</v>
      </c>
      <c r="D36" s="363">
        <v>2.8621521874876805</v>
      </c>
      <c r="E36" s="363">
        <v>3.0824865912500456</v>
      </c>
      <c r="F36" s="363">
        <v>2.1768984879589794</v>
      </c>
      <c r="G36" s="363">
        <v>-7.5623246258959966</v>
      </c>
    </row>
    <row r="37" spans="1:8" ht="15" customHeight="1" x14ac:dyDescent="0.2">
      <c r="A37" s="20"/>
      <c r="B37" s="115">
        <v>2002</v>
      </c>
      <c r="C37" s="363">
        <v>-1.3958353283273084</v>
      </c>
      <c r="D37" s="363">
        <v>1.7353048859809519</v>
      </c>
      <c r="E37" s="363">
        <v>1.4351016184072307</v>
      </c>
      <c r="F37" s="363">
        <v>2.6772306142680549</v>
      </c>
      <c r="G37" s="363">
        <v>-11.815064951240686</v>
      </c>
    </row>
    <row r="38" spans="1:8" ht="15" customHeight="1" x14ac:dyDescent="0.2">
      <c r="A38" s="20"/>
      <c r="B38" s="115">
        <v>2003</v>
      </c>
      <c r="C38" s="363">
        <v>1.1189581928883996</v>
      </c>
      <c r="D38" s="363">
        <v>3.6788427535076664</v>
      </c>
      <c r="E38" s="363">
        <v>4.0530992970505508</v>
      </c>
      <c r="F38" s="363">
        <v>2.5187712223565768</v>
      </c>
      <c r="G38" s="363">
        <v>0.11405217647467225</v>
      </c>
    </row>
    <row r="39" spans="1:8" ht="15" customHeight="1" x14ac:dyDescent="0.2">
      <c r="A39" s="20"/>
      <c r="B39" s="115">
        <v>2004</v>
      </c>
      <c r="C39" s="363">
        <v>2.0880725645659055</v>
      </c>
      <c r="D39" s="363">
        <v>0.80705715633027353</v>
      </c>
      <c r="E39" s="363">
        <v>1.3201083003551872</v>
      </c>
      <c r="F39" s="363">
        <v>-0.8070325039705466</v>
      </c>
      <c r="G39" s="363">
        <v>-3.0858266316048741</v>
      </c>
    </row>
    <row r="40" spans="1:8" ht="15" customHeight="1" x14ac:dyDescent="0.2">
      <c r="A40" s="20"/>
      <c r="B40" s="115">
        <v>2005</v>
      </c>
      <c r="C40" s="363">
        <v>0.85248508555363856</v>
      </c>
      <c r="D40" s="363">
        <v>2.9554969614636377</v>
      </c>
      <c r="E40" s="363">
        <v>3.3817562469179308</v>
      </c>
      <c r="F40" s="363">
        <v>1.5857018559943725</v>
      </c>
      <c r="G40" s="363">
        <v>1.1604797577399921</v>
      </c>
    </row>
    <row r="41" spans="1:8" ht="15" customHeight="1" x14ac:dyDescent="0.2">
      <c r="A41" s="20"/>
      <c r="B41" s="115"/>
      <c r="C41" s="363"/>
      <c r="D41" s="363"/>
      <c r="E41" s="363"/>
      <c r="F41" s="363"/>
      <c r="G41" s="363"/>
    </row>
    <row r="42" spans="1:8" ht="15" customHeight="1" x14ac:dyDescent="0.2">
      <c r="A42" s="20"/>
      <c r="B42" s="115">
        <v>2006</v>
      </c>
      <c r="C42" s="363">
        <v>2.8743172574605325</v>
      </c>
      <c r="D42" s="363">
        <v>1.7029138967053257</v>
      </c>
      <c r="E42" s="363">
        <v>1.4136740588824352</v>
      </c>
      <c r="F42" s="363">
        <v>2.6488268811324645</v>
      </c>
      <c r="G42" s="363">
        <v>17.559270843460411</v>
      </c>
    </row>
    <row r="43" spans="1:8" ht="15" customHeight="1" x14ac:dyDescent="0.2">
      <c r="A43" s="20"/>
      <c r="B43" s="115">
        <v>2007</v>
      </c>
      <c r="C43" s="363">
        <v>2.4137597839677198</v>
      </c>
      <c r="D43" s="363">
        <v>2.8796510920950595</v>
      </c>
      <c r="E43" s="363">
        <v>2.6902309664611295</v>
      </c>
      <c r="F43" s="363">
        <v>3.4916656099946692</v>
      </c>
      <c r="G43" s="363">
        <v>2.4188030258462874</v>
      </c>
    </row>
    <row r="44" spans="1:8" ht="15" customHeight="1" x14ac:dyDescent="0.2">
      <c r="A44" s="20"/>
      <c r="B44" s="115">
        <v>2008</v>
      </c>
      <c r="C44" s="363">
        <v>3.093259295232599</v>
      </c>
      <c r="D44" s="363">
        <v>2.1411017778071511</v>
      </c>
      <c r="E44" s="363">
        <v>1.481277812168301</v>
      </c>
      <c r="F44" s="363">
        <v>4.2564771493451445</v>
      </c>
      <c r="G44" s="363">
        <v>3.3404979764916334</v>
      </c>
    </row>
    <row r="45" spans="1:8" ht="15" customHeight="1" x14ac:dyDescent="0.2">
      <c r="A45" s="20"/>
      <c r="B45" s="115">
        <v>2009</v>
      </c>
      <c r="C45" s="363">
        <v>-2.6157871957958179</v>
      </c>
      <c r="D45" s="363">
        <v>2.3066714640170289</v>
      </c>
      <c r="E45" s="363">
        <v>2.0248808872226789</v>
      </c>
      <c r="F45" s="363">
        <v>3.1860355106652349</v>
      </c>
      <c r="G45" s="363">
        <v>-9.6293392197553516</v>
      </c>
    </row>
    <row r="46" spans="1:8" ht="15" customHeight="1" x14ac:dyDescent="0.2">
      <c r="A46" s="20"/>
      <c r="B46" s="115">
        <v>2010</v>
      </c>
      <c r="C46" s="363">
        <v>2.2581890941581264</v>
      </c>
      <c r="D46" s="363">
        <v>1.5126480072967752</v>
      </c>
      <c r="E46" s="363">
        <v>1.1718018249440405</v>
      </c>
      <c r="F46" s="363">
        <v>2.5643334024048414</v>
      </c>
      <c r="G46" s="363">
        <v>17.57732862285134</v>
      </c>
    </row>
    <row r="47" spans="1:8" ht="15" customHeight="1" x14ac:dyDescent="0.2">
      <c r="A47" s="20"/>
      <c r="B47" s="115"/>
      <c r="C47" s="363"/>
      <c r="D47" s="363"/>
      <c r="E47" s="363"/>
      <c r="F47" s="363"/>
      <c r="G47" s="363"/>
    </row>
    <row r="48" spans="1:8" ht="15" customHeight="1" x14ac:dyDescent="0.2">
      <c r="A48" s="20"/>
      <c r="B48" s="115">
        <v>2011</v>
      </c>
      <c r="C48" s="363">
        <v>4.0281648678542155</v>
      </c>
      <c r="D48" s="363">
        <v>3.1099989715893059</v>
      </c>
      <c r="E48" s="363">
        <v>3.1070487828784081</v>
      </c>
      <c r="F48" s="363">
        <v>3.1189782270722048</v>
      </c>
      <c r="G48" s="363">
        <v>11.400987291599321</v>
      </c>
    </row>
    <row r="49" spans="1:8" ht="15" customHeight="1" x14ac:dyDescent="0.2">
      <c r="A49" s="20"/>
      <c r="B49" s="115">
        <v>2012</v>
      </c>
      <c r="C49" s="363">
        <v>3.5633257641016058</v>
      </c>
      <c r="D49" s="363">
        <v>3.4474074285736407</v>
      </c>
      <c r="E49" s="363">
        <v>3.6130354524111823</v>
      </c>
      <c r="F49" s="363">
        <v>2.9433568621675761</v>
      </c>
      <c r="G49" s="363">
        <v>-1.502815004712275</v>
      </c>
    </row>
    <row r="50" spans="1:8" ht="15" customHeight="1" x14ac:dyDescent="0.2">
      <c r="A50" s="20"/>
      <c r="B50" s="115">
        <v>2013</v>
      </c>
      <c r="C50" s="363">
        <v>1.3116229719412331</v>
      </c>
      <c r="D50" s="363">
        <v>2.2887925363921937</v>
      </c>
      <c r="E50" s="363">
        <v>1.9799812265090111</v>
      </c>
      <c r="F50" s="363">
        <v>3.2347019672419037</v>
      </c>
      <c r="G50" s="363">
        <v>-11.29215147037705</v>
      </c>
    </row>
    <row r="51" spans="1:8" ht="15" customHeight="1" x14ac:dyDescent="0.2">
      <c r="A51" s="20"/>
      <c r="B51" s="115">
        <v>2014</v>
      </c>
      <c r="C51" s="363">
        <v>3.4111594812834767</v>
      </c>
      <c r="D51" s="363">
        <v>2.0700026564348661</v>
      </c>
      <c r="E51" s="363">
        <v>1.4298997397224298</v>
      </c>
      <c r="F51" s="363">
        <v>4.0068499603780197</v>
      </c>
      <c r="G51" s="363">
        <v>18.708256559771428</v>
      </c>
    </row>
    <row r="52" spans="1:8" ht="15" customHeight="1" x14ac:dyDescent="0.2">
      <c r="A52" s="20"/>
      <c r="B52" s="115">
        <v>2015</v>
      </c>
      <c r="C52" s="363">
        <v>2.4955915603930947</v>
      </c>
      <c r="D52" s="363">
        <v>4.0958195740422809</v>
      </c>
      <c r="E52" s="363">
        <v>4.047235350633315</v>
      </c>
      <c r="F52" s="363">
        <v>4.2391851538664866</v>
      </c>
      <c r="G52" s="363">
        <v>-1.7840422444983233</v>
      </c>
    </row>
    <row r="53" spans="1:8" ht="15" customHeight="1" x14ac:dyDescent="0.2">
      <c r="A53" s="20"/>
      <c r="B53" s="115"/>
      <c r="C53" s="363"/>
      <c r="D53" s="363"/>
      <c r="E53" s="363"/>
      <c r="F53" s="363"/>
      <c r="G53" s="363"/>
    </row>
    <row r="54" spans="1:8" ht="15" customHeight="1" x14ac:dyDescent="0.2">
      <c r="A54" s="20"/>
      <c r="B54" s="115">
        <v>2016</v>
      </c>
      <c r="C54" s="363">
        <v>3.0695071243323753</v>
      </c>
      <c r="D54" s="363">
        <v>3.1977010006745274</v>
      </c>
      <c r="E54" s="363">
        <v>2.4963512569247541</v>
      </c>
      <c r="F54" s="363">
        <v>5.2634797722025013</v>
      </c>
      <c r="G54" s="363">
        <v>16.141060820374207</v>
      </c>
    </row>
    <row r="55" spans="1:8" ht="15" customHeight="1" x14ac:dyDescent="0.2">
      <c r="A55" s="20"/>
      <c r="B55" s="115">
        <v>2017</v>
      </c>
      <c r="C55" s="363">
        <v>6.2119398935257095</v>
      </c>
      <c r="D55" s="363">
        <v>4.4969144786099662</v>
      </c>
      <c r="E55" s="363">
        <v>4.6118311172596407</v>
      </c>
      <c r="F55" s="363">
        <v>4.1673330253451724</v>
      </c>
      <c r="G55" s="363">
        <v>-1.7088598168181335</v>
      </c>
    </row>
    <row r="56" spans="1:8" ht="15" customHeight="1" x14ac:dyDescent="0.2">
      <c r="A56" s="20"/>
      <c r="B56" s="115">
        <v>2018</v>
      </c>
      <c r="C56" s="363">
        <v>2.7049482013863155</v>
      </c>
      <c r="D56" s="363">
        <v>2.6688638123511055</v>
      </c>
      <c r="E56" s="363">
        <v>2.4753845526052913</v>
      </c>
      <c r="F56" s="363">
        <v>3.226131069200278</v>
      </c>
      <c r="G56" s="363">
        <v>3.3916358922088961</v>
      </c>
    </row>
    <row r="57" spans="1:8" ht="15" customHeight="1" x14ac:dyDescent="0.2">
      <c r="A57" s="20"/>
      <c r="B57" s="115">
        <v>2019</v>
      </c>
      <c r="C57" s="363">
        <v>4.5996133645595734</v>
      </c>
      <c r="D57" s="363">
        <v>3.6004887697381918</v>
      </c>
      <c r="E57" s="363">
        <v>3.0701554278537628</v>
      </c>
      <c r="F57" s="363">
        <v>5.1168684195841649</v>
      </c>
      <c r="G57" s="363">
        <v>12.300451602530202</v>
      </c>
    </row>
    <row r="58" spans="1:8" ht="15" customHeight="1" x14ac:dyDescent="0.2">
      <c r="A58" s="20"/>
      <c r="B58" s="115">
        <v>2020</v>
      </c>
      <c r="C58" s="363">
        <v>-0.33721606214801625</v>
      </c>
      <c r="D58" s="363">
        <v>-1.4281152628951332</v>
      </c>
      <c r="E58" s="363">
        <v>-5.2878337709504137</v>
      </c>
      <c r="F58" s="363">
        <v>9.3930782814688314</v>
      </c>
      <c r="G58" s="363">
        <v>-2.077235140459436</v>
      </c>
      <c r="H58" s="103"/>
    </row>
    <row r="59" spans="1:8" ht="15" customHeight="1" x14ac:dyDescent="0.2">
      <c r="A59" s="20"/>
      <c r="B59" s="115"/>
      <c r="C59" s="363"/>
      <c r="D59" s="363"/>
      <c r="E59" s="363"/>
      <c r="F59" s="363"/>
      <c r="G59" s="363"/>
      <c r="H59" s="103"/>
    </row>
    <row r="60" spans="1:8" ht="15" customHeight="1" x14ac:dyDescent="0.2">
      <c r="A60" s="20"/>
      <c r="B60" s="115">
        <v>2021</v>
      </c>
      <c r="C60" s="363">
        <v>5.7945404138405934</v>
      </c>
      <c r="D60" s="363">
        <v>6.5704011062025245</v>
      </c>
      <c r="E60" s="363">
        <v>6.4973420086295732</v>
      </c>
      <c r="F60" s="363">
        <v>6.7477423549470359</v>
      </c>
      <c r="G60" s="363">
        <v>1.008473893746924</v>
      </c>
      <c r="H60" s="103"/>
    </row>
    <row r="61" spans="1:8" ht="15" customHeight="1" x14ac:dyDescent="0.2">
      <c r="A61" s="20"/>
      <c r="B61" s="115">
        <v>2022</v>
      </c>
      <c r="C61" s="363">
        <v>10.820397221769596</v>
      </c>
      <c r="D61" s="363">
        <v>11.699210805918199</v>
      </c>
      <c r="E61" s="363">
        <v>13.768715534269887</v>
      </c>
      <c r="F61" s="363">
        <v>6.6875467481999067</v>
      </c>
      <c r="G61" s="363">
        <v>18.429521751554461</v>
      </c>
      <c r="H61" s="103"/>
    </row>
    <row r="62" spans="1:8" ht="15" customHeight="1" x14ac:dyDescent="0.2">
      <c r="A62" s="20"/>
      <c r="B62" s="115">
        <v>2023</v>
      </c>
      <c r="C62" s="363">
        <v>4.3652303953998057</v>
      </c>
      <c r="D62" s="363" t="s">
        <v>77</v>
      </c>
      <c r="E62" s="363">
        <v>5.0968388894917354</v>
      </c>
      <c r="F62" s="363" t="s">
        <v>77</v>
      </c>
      <c r="G62" s="363" t="s">
        <v>77</v>
      </c>
      <c r="H62" s="103"/>
    </row>
    <row r="63" spans="1:8" ht="15" customHeight="1" x14ac:dyDescent="0.2">
      <c r="A63" s="20"/>
      <c r="B63" s="115"/>
      <c r="C63" s="389" t="s">
        <v>34</v>
      </c>
      <c r="D63" s="389"/>
      <c r="E63" s="389"/>
      <c r="F63" s="389"/>
      <c r="G63" s="389"/>
    </row>
    <row r="64" spans="1:8" ht="15" customHeight="1" x14ac:dyDescent="0.2">
      <c r="A64" s="20"/>
      <c r="B64" s="115">
        <v>2000</v>
      </c>
      <c r="C64" s="150">
        <v>100</v>
      </c>
      <c r="D64" s="118">
        <v>84.423012582746836</v>
      </c>
      <c r="E64" s="118">
        <v>63.882444444051067</v>
      </c>
      <c r="F64" s="118">
        <v>20.540568138695779</v>
      </c>
      <c r="G64" s="118">
        <v>22.658168043067167</v>
      </c>
    </row>
    <row r="65" spans="2:7" ht="15" customHeight="1" x14ac:dyDescent="0.2">
      <c r="B65" s="115">
        <v>2001</v>
      </c>
      <c r="C65" s="150">
        <v>100</v>
      </c>
      <c r="D65" s="118">
        <v>84.294735155816625</v>
      </c>
      <c r="E65" s="118">
        <v>63.92200815454305</v>
      </c>
      <c r="F65" s="118">
        <v>20.372727001273574</v>
      </c>
      <c r="G65" s="118">
        <v>20.330956292829125</v>
      </c>
    </row>
    <row r="66" spans="2:7" ht="15" customHeight="1" x14ac:dyDescent="0.2">
      <c r="B66" s="115">
        <v>2002</v>
      </c>
      <c r="C66" s="150">
        <v>100</v>
      </c>
      <c r="D66" s="118">
        <v>86.971484520102535</v>
      </c>
      <c r="E66" s="118">
        <v>65.757216385318216</v>
      </c>
      <c r="F66" s="118">
        <v>21.21426813478433</v>
      </c>
      <c r="G66" s="118">
        <v>18.182640318815725</v>
      </c>
    </row>
    <row r="67" spans="2:7" ht="15" customHeight="1" x14ac:dyDescent="0.2">
      <c r="B67" s="115">
        <v>2003</v>
      </c>
      <c r="C67" s="150">
        <v>100</v>
      </c>
      <c r="D67" s="118">
        <v>89.173217651217868</v>
      </c>
      <c r="E67" s="118">
        <v>67.665275516261829</v>
      </c>
      <c r="F67" s="118">
        <v>21.507942134956053</v>
      </c>
      <c r="G67" s="118">
        <v>18.001943790912318</v>
      </c>
    </row>
    <row r="68" spans="2:7" ht="15" customHeight="1" x14ac:dyDescent="0.2">
      <c r="B68" s="115">
        <v>2004</v>
      </c>
      <c r="C68" s="150">
        <v>100</v>
      </c>
      <c r="D68" s="118">
        <v>88.054259648157199</v>
      </c>
      <c r="E68" s="118">
        <v>67.156259014930626</v>
      </c>
      <c r="F68" s="118">
        <v>20.89800063322657</v>
      </c>
      <c r="G68" s="118">
        <v>17.089591934622682</v>
      </c>
    </row>
    <row r="69" spans="2:7" ht="15" customHeight="1" x14ac:dyDescent="0.2">
      <c r="B69" s="115"/>
      <c r="C69" s="150"/>
      <c r="D69" s="118"/>
      <c r="E69" s="118"/>
      <c r="F69" s="118"/>
      <c r="G69" s="118"/>
    </row>
    <row r="70" spans="2:7" ht="15" customHeight="1" x14ac:dyDescent="0.2">
      <c r="B70" s="115">
        <v>2005</v>
      </c>
      <c r="C70" s="150">
        <v>100</v>
      </c>
      <c r="D70" s="118">
        <v>89.890398376989211</v>
      </c>
      <c r="E70" s="118">
        <v>68.840465299857428</v>
      </c>
      <c r="F70" s="118">
        <v>21.04993307713179</v>
      </c>
      <c r="G70" s="118">
        <v>17.14178205429338</v>
      </c>
    </row>
    <row r="71" spans="2:7" ht="15" customHeight="1" x14ac:dyDescent="0.2">
      <c r="B71" s="115">
        <v>2006</v>
      </c>
      <c r="C71" s="150">
        <v>100</v>
      </c>
      <c r="D71" s="118">
        <v>88.866839557202312</v>
      </c>
      <c r="E71" s="118">
        <v>67.863045861188965</v>
      </c>
      <c r="F71" s="118">
        <v>21.003793696013332</v>
      </c>
      <c r="G71" s="118">
        <v>19.588712255721944</v>
      </c>
    </row>
    <row r="72" spans="2:7" ht="15" customHeight="1" x14ac:dyDescent="0.2">
      <c r="B72" s="115">
        <v>2007</v>
      </c>
      <c r="C72" s="150">
        <v>100</v>
      </c>
      <c r="D72" s="118">
        <v>89.271104454983444</v>
      </c>
      <c r="E72" s="118">
        <v>68.046245624349936</v>
      </c>
      <c r="F72" s="118">
        <v>21.224858830633508</v>
      </c>
      <c r="G72" s="118">
        <v>19.589676878192634</v>
      </c>
    </row>
    <row r="73" spans="2:7" ht="15" customHeight="1" x14ac:dyDescent="0.2">
      <c r="B73" s="115">
        <v>2008</v>
      </c>
      <c r="C73" s="150">
        <v>100</v>
      </c>
      <c r="D73" s="118">
        <v>88.446606774177141</v>
      </c>
      <c r="E73" s="118">
        <v>66.982264441793916</v>
      </c>
      <c r="F73" s="118">
        <v>21.4643423323832</v>
      </c>
      <c r="G73" s="118">
        <v>19.636656922385292</v>
      </c>
    </row>
    <row r="74" spans="2:7" ht="15" customHeight="1" x14ac:dyDescent="0.2">
      <c r="B74" s="115">
        <v>2009</v>
      </c>
      <c r="C74" s="150">
        <v>100</v>
      </c>
      <c r="D74" s="118">
        <v>92.917298202591226</v>
      </c>
      <c r="E74" s="118">
        <v>70.174182800761429</v>
      </c>
      <c r="F74" s="118">
        <v>22.743115401829812</v>
      </c>
      <c r="G74" s="118">
        <v>18.222436784068901</v>
      </c>
    </row>
    <row r="75" spans="2:7" ht="15" customHeight="1" x14ac:dyDescent="0.2">
      <c r="B75" s="115"/>
      <c r="C75" s="150"/>
      <c r="D75" s="118"/>
      <c r="E75" s="118"/>
      <c r="F75" s="118"/>
      <c r="G75" s="118"/>
    </row>
    <row r="76" spans="2:7" ht="15" customHeight="1" x14ac:dyDescent="0.2">
      <c r="B76" s="115">
        <v>2010</v>
      </c>
      <c r="C76" s="150">
        <v>100</v>
      </c>
      <c r="D76" s="118">
        <v>92.23985941647706</v>
      </c>
      <c r="E76" s="118">
        <v>69.428654843562313</v>
      </c>
      <c r="F76" s="118">
        <v>22.811204572914754</v>
      </c>
      <c r="G76" s="118">
        <v>20.952311565939947</v>
      </c>
    </row>
    <row r="77" spans="2:7" ht="15" customHeight="1" x14ac:dyDescent="0.2">
      <c r="B77" s="115">
        <v>2011</v>
      </c>
      <c r="C77" s="150">
        <v>100</v>
      </c>
      <c r="D77" s="118">
        <v>91.425738612749896</v>
      </c>
      <c r="E77" s="118">
        <v>68.813899687438237</v>
      </c>
      <c r="F77" s="118">
        <v>22.611838925311673</v>
      </c>
      <c r="G77" s="118">
        <v>22.437271650921613</v>
      </c>
    </row>
    <row r="78" spans="2:7" ht="15" customHeight="1" x14ac:dyDescent="0.2">
      <c r="B78" s="115">
        <v>2012</v>
      </c>
      <c r="C78" s="150">
        <v>100</v>
      </c>
      <c r="D78" s="118">
        <v>91.323405867386498</v>
      </c>
      <c r="E78" s="118">
        <v>68.846929888811076</v>
      </c>
      <c r="F78" s="118">
        <v>22.476475978575426</v>
      </c>
      <c r="G78" s="118">
        <v>21.33967869691967</v>
      </c>
    </row>
    <row r="79" spans="2:7" ht="15" customHeight="1" x14ac:dyDescent="0.2">
      <c r="B79" s="115">
        <v>2013</v>
      </c>
      <c r="C79" s="150">
        <v>100</v>
      </c>
      <c r="D79" s="118">
        <v>92.204237208528156</v>
      </c>
      <c r="E79" s="118">
        <v>69.301116807774747</v>
      </c>
      <c r="F79" s="118">
        <v>22.903120400753419</v>
      </c>
      <c r="G79" s="118">
        <v>18.68489448679987</v>
      </c>
    </row>
    <row r="80" spans="2:7" ht="15" customHeight="1" x14ac:dyDescent="0.2">
      <c r="B80" s="115">
        <v>2014</v>
      </c>
      <c r="C80" s="150">
        <v>100</v>
      </c>
      <c r="D80" s="118">
        <v>91.008424854886002</v>
      </c>
      <c r="E80" s="118">
        <v>67.97337313421778</v>
      </c>
      <c r="F80" s="118">
        <v>23.035051720668211</v>
      </c>
      <c r="G80" s="118">
        <v>21.448857740858671</v>
      </c>
    </row>
    <row r="81" spans="1:8" ht="15" customHeight="1" x14ac:dyDescent="0.2">
      <c r="A81" s="20"/>
      <c r="B81" s="115"/>
      <c r="C81" s="150"/>
      <c r="D81" s="118"/>
      <c r="E81" s="118"/>
      <c r="F81" s="118"/>
      <c r="G81" s="118"/>
    </row>
    <row r="82" spans="1:8" ht="15" customHeight="1" x14ac:dyDescent="0.2">
      <c r="A82" s="20"/>
      <c r="B82" s="115">
        <v>2015</v>
      </c>
      <c r="C82" s="150">
        <v>100</v>
      </c>
      <c r="D82" s="118">
        <v>92.429307731054038</v>
      </c>
      <c r="E82" s="118">
        <v>69.002397511946697</v>
      </c>
      <c r="F82" s="118">
        <v>23.426910219107334</v>
      </c>
      <c r="G82" s="118">
        <v>20.553275255147575</v>
      </c>
    </row>
    <row r="83" spans="1:8" ht="15" customHeight="1" x14ac:dyDescent="0.2">
      <c r="A83" s="20"/>
      <c r="B83" s="115">
        <v>2016</v>
      </c>
      <c r="C83" s="150">
        <v>100</v>
      </c>
      <c r="D83" s="118">
        <v>92.544267737910118</v>
      </c>
      <c r="E83" s="118">
        <v>68.618684325548543</v>
      </c>
      <c r="F83" s="118">
        <v>23.925583412361568</v>
      </c>
      <c r="G83" s="118">
        <v>23.15989721951869</v>
      </c>
    </row>
    <row r="84" spans="1:8" ht="15" customHeight="1" x14ac:dyDescent="0.2">
      <c r="A84" s="20"/>
      <c r="B84" s="115">
        <v>2017</v>
      </c>
      <c r="C84" s="150">
        <v>100</v>
      </c>
      <c r="D84" s="118">
        <v>91.049936956131802</v>
      </c>
      <c r="E84" s="118">
        <v>67.58492711223326</v>
      </c>
      <c r="F84" s="118">
        <v>23.465009843898549</v>
      </c>
      <c r="G84" s="118">
        <v>21.432738226171473</v>
      </c>
    </row>
    <row r="85" spans="1:8" ht="15" customHeight="1" x14ac:dyDescent="0.2">
      <c r="A85" s="20"/>
      <c r="B85" s="115">
        <v>2018</v>
      </c>
      <c r="C85" s="150">
        <v>100</v>
      </c>
      <c r="D85" s="118">
        <v>91.017947442439493</v>
      </c>
      <c r="E85" s="118">
        <v>67.43386289631971</v>
      </c>
      <c r="F85" s="118">
        <v>23.584084546119769</v>
      </c>
      <c r="G85" s="118">
        <v>21.576038016281643</v>
      </c>
    </row>
    <row r="86" spans="1:8" ht="15" customHeight="1" x14ac:dyDescent="0.2">
      <c r="A86" s="20"/>
      <c r="B86" s="115">
        <v>2019</v>
      </c>
      <c r="C86" s="150">
        <v>100</v>
      </c>
      <c r="D86" s="118">
        <v>90.148553503640144</v>
      </c>
      <c r="E86" s="118">
        <v>66.447843412193649</v>
      </c>
      <c r="F86" s="118">
        <v>23.700710091446503</v>
      </c>
      <c r="G86" s="118">
        <v>23.164510222202679</v>
      </c>
    </row>
    <row r="87" spans="1:8" ht="15" customHeight="1" x14ac:dyDescent="0.2">
      <c r="A87" s="20"/>
      <c r="B87" s="115"/>
      <c r="C87" s="150"/>
      <c r="D87" s="118"/>
      <c r="E87" s="118"/>
      <c r="F87" s="118"/>
      <c r="G87" s="118"/>
      <c r="H87" s="103"/>
    </row>
    <row r="88" spans="1:8" ht="15" customHeight="1" x14ac:dyDescent="0.2">
      <c r="A88" s="20"/>
      <c r="B88" s="115">
        <v>2020</v>
      </c>
      <c r="C88" s="150">
        <v>100</v>
      </c>
      <c r="D88" s="118">
        <v>89.161796149691924</v>
      </c>
      <c r="E88" s="118">
        <v>63.147134187441651</v>
      </c>
      <c r="F88" s="118">
        <v>26.01466196225028</v>
      </c>
      <c r="G88" s="118">
        <v>22.760079519649686</v>
      </c>
    </row>
    <row r="89" spans="1:8" ht="15" customHeight="1" x14ac:dyDescent="0.2">
      <c r="A89" s="20"/>
      <c r="B89" s="115">
        <v>2021</v>
      </c>
      <c r="C89" s="150">
        <v>100</v>
      </c>
      <c r="D89" s="118">
        <v>89.815678028873322</v>
      </c>
      <c r="E89" s="118">
        <v>63.566625651175848</v>
      </c>
      <c r="F89" s="118">
        <v>26.249052377697474</v>
      </c>
      <c r="G89" s="118">
        <v>21.73043040772431</v>
      </c>
    </row>
    <row r="90" spans="1:8" ht="15" customHeight="1" x14ac:dyDescent="0.2">
      <c r="A90" s="20"/>
      <c r="B90" s="115">
        <v>2022</v>
      </c>
      <c r="C90" s="150">
        <v>100</v>
      </c>
      <c r="D90" s="118">
        <v>90.527922704944402</v>
      </c>
      <c r="E90" s="118">
        <v>65.25778225383776</v>
      </c>
      <c r="F90" s="118">
        <v>25.270140451106649</v>
      </c>
      <c r="G90" s="118">
        <v>23.222480203641449</v>
      </c>
    </row>
    <row r="91" spans="1:8" ht="15" customHeight="1" x14ac:dyDescent="0.2">
      <c r="A91" s="20"/>
      <c r="B91" s="115">
        <v>2023</v>
      </c>
      <c r="C91" s="150">
        <v>100</v>
      </c>
      <c r="D91" s="118" t="s">
        <v>77</v>
      </c>
      <c r="E91" s="118">
        <v>65.715244452901842</v>
      </c>
      <c r="F91" s="118" t="s">
        <v>77</v>
      </c>
      <c r="G91" s="118" t="s">
        <v>77</v>
      </c>
    </row>
    <row r="92" spans="1:8" ht="15" customHeight="1" x14ac:dyDescent="0.2">
      <c r="A92" s="20"/>
      <c r="B92" s="115"/>
      <c r="C92" s="389" t="s">
        <v>10</v>
      </c>
      <c r="D92" s="389"/>
      <c r="E92" s="389"/>
      <c r="F92" s="389"/>
      <c r="G92" s="389"/>
    </row>
    <row r="93" spans="1:8" ht="15" customHeight="1" x14ac:dyDescent="0.2">
      <c r="A93" s="20"/>
      <c r="B93" s="115">
        <v>2000</v>
      </c>
      <c r="C93" s="118">
        <v>3.0239162119774989</v>
      </c>
      <c r="D93" s="118">
        <v>3.3647952691579297</v>
      </c>
      <c r="E93" s="118">
        <v>3.4231371077388015</v>
      </c>
      <c r="F93" s="118">
        <v>3.1954189474497907</v>
      </c>
      <c r="G93" s="118">
        <v>2.9942121236372143</v>
      </c>
    </row>
    <row r="94" spans="1:8" ht="15" customHeight="1" x14ac:dyDescent="0.2">
      <c r="A94" s="20"/>
      <c r="B94" s="115">
        <v>2001</v>
      </c>
      <c r="C94" s="118">
        <v>3.0217369382335928</v>
      </c>
      <c r="D94" s="118">
        <v>3.3659761424255903</v>
      </c>
      <c r="E94" s="118">
        <v>3.4233270987600006</v>
      </c>
      <c r="F94" s="118">
        <v>3.1978807624239325</v>
      </c>
      <c r="G94" s="118">
        <v>2.8516811102113993</v>
      </c>
    </row>
    <row r="95" spans="1:8" ht="15" customHeight="1" x14ac:dyDescent="0.2">
      <c r="A95" s="20"/>
      <c r="B95" s="115">
        <v>2002</v>
      </c>
      <c r="C95" s="118">
        <v>2.942263061312608</v>
      </c>
      <c r="D95" s="118">
        <v>3.3759006826657489</v>
      </c>
      <c r="E95" s="118">
        <v>3.4387339430619717</v>
      </c>
      <c r="F95" s="118">
        <v>3.1949459672257956</v>
      </c>
      <c r="G95" s="118">
        <v>2.6901448141254272</v>
      </c>
    </row>
    <row r="96" spans="1:8" ht="15" customHeight="1" x14ac:dyDescent="0.2">
      <c r="A96" s="20"/>
      <c r="B96" s="115">
        <v>2003</v>
      </c>
      <c r="C96" s="118">
        <v>2.9520169046014613</v>
      </c>
      <c r="D96" s="118">
        <v>3.427515758353322</v>
      </c>
      <c r="E96" s="118">
        <v>3.490262502885161</v>
      </c>
      <c r="F96" s="118">
        <v>3.2440369566407035</v>
      </c>
      <c r="G96" s="118">
        <v>2.7586361709373199</v>
      </c>
    </row>
    <row r="97" spans="1:7" ht="15" customHeight="1" x14ac:dyDescent="0.2">
      <c r="A97" s="20"/>
      <c r="B97" s="115">
        <v>2004</v>
      </c>
      <c r="C97" s="118">
        <v>2.9450132138994523</v>
      </c>
      <c r="D97" s="118">
        <v>3.4114589566431657</v>
      </c>
      <c r="E97" s="118">
        <v>3.4719120271378272</v>
      </c>
      <c r="F97" s="118">
        <v>3.2306888784092522</v>
      </c>
      <c r="G97" s="118">
        <v>2.6726055028449816</v>
      </c>
    </row>
    <row r="98" spans="1:7" ht="15" customHeight="1" x14ac:dyDescent="0.2">
      <c r="A98" s="20"/>
      <c r="B98" s="115"/>
      <c r="C98" s="118"/>
      <c r="D98" s="118"/>
      <c r="E98" s="118"/>
      <c r="F98" s="118"/>
      <c r="G98" s="118"/>
    </row>
    <row r="99" spans="1:7" ht="15" customHeight="1" x14ac:dyDescent="0.2">
      <c r="A99" s="20"/>
      <c r="B99" s="115">
        <v>2005</v>
      </c>
      <c r="C99" s="118">
        <v>2.9283967906574766</v>
      </c>
      <c r="D99" s="118">
        <v>3.4494869502061949</v>
      </c>
      <c r="E99" s="118">
        <v>3.5133870582178615</v>
      </c>
      <c r="F99" s="118">
        <v>3.2558311342051116</v>
      </c>
      <c r="G99" s="118">
        <v>2.6751660151326977</v>
      </c>
    </row>
    <row r="100" spans="1:7" ht="15" customHeight="1" x14ac:dyDescent="0.2">
      <c r="A100" s="20"/>
      <c r="B100" s="115">
        <v>2006</v>
      </c>
      <c r="C100" s="118">
        <v>2.8878154135307357</v>
      </c>
      <c r="D100" s="118">
        <v>3.4252935082967908</v>
      </c>
      <c r="E100" s="118">
        <v>3.4706078617575633</v>
      </c>
      <c r="F100" s="118">
        <v>3.286643945755686</v>
      </c>
      <c r="G100" s="118">
        <v>2.9065566410344923</v>
      </c>
    </row>
    <row r="101" spans="1:7" ht="15" customHeight="1" x14ac:dyDescent="0.2">
      <c r="A101" s="20"/>
      <c r="B101" s="115">
        <v>2007</v>
      </c>
      <c r="C101" s="118">
        <v>2.8225238964369725</v>
      </c>
      <c r="D101" s="118">
        <v>3.4600362012360923</v>
      </c>
      <c r="E101" s="118">
        <v>3.5016936012496003</v>
      </c>
      <c r="F101" s="118">
        <v>3.3329207444107913</v>
      </c>
      <c r="G101" s="118">
        <v>2.8045576343317977</v>
      </c>
    </row>
    <row r="102" spans="1:7" ht="15" customHeight="1" x14ac:dyDescent="0.2">
      <c r="A102" s="20"/>
      <c r="B102" s="115">
        <v>2008</v>
      </c>
      <c r="C102" s="118">
        <v>2.8565045874393746</v>
      </c>
      <c r="D102" s="118">
        <v>3.4459524881694437</v>
      </c>
      <c r="E102" s="118">
        <v>3.4809128129329214</v>
      </c>
      <c r="F102" s="118">
        <v>3.3412321108041168</v>
      </c>
      <c r="G102" s="118">
        <v>2.810236622628405</v>
      </c>
    </row>
    <row r="103" spans="1:7" ht="15" customHeight="1" x14ac:dyDescent="0.2">
      <c r="A103" s="20"/>
      <c r="B103" s="115">
        <v>2009</v>
      </c>
      <c r="C103" s="118">
        <v>2.8874978255380039</v>
      </c>
      <c r="D103" s="118">
        <v>3.4755579497750442</v>
      </c>
      <c r="E103" s="118">
        <v>3.5422470737030927</v>
      </c>
      <c r="F103" s="118">
        <v>3.2847460855269754</v>
      </c>
      <c r="G103" s="118">
        <v>2.7941226302043978</v>
      </c>
    </row>
    <row r="104" spans="1:7" ht="15" customHeight="1" x14ac:dyDescent="0.2">
      <c r="A104" s="20"/>
      <c r="B104" s="115"/>
      <c r="C104" s="118"/>
      <c r="D104" s="118"/>
      <c r="E104" s="118"/>
      <c r="F104" s="118"/>
      <c r="G104" s="118"/>
    </row>
    <row r="105" spans="1:7" ht="15" customHeight="1" x14ac:dyDescent="0.2">
      <c r="A105" s="20"/>
      <c r="B105" s="115">
        <v>2010</v>
      </c>
      <c r="C105" s="118">
        <v>2.8159178688562188</v>
      </c>
      <c r="D105" s="118">
        <v>3.4475493302471749</v>
      </c>
      <c r="E105" s="118">
        <v>3.5056800570829698</v>
      </c>
      <c r="F105" s="118">
        <v>3.2819146442926281</v>
      </c>
      <c r="G105" s="118">
        <v>3.0760732051466015</v>
      </c>
    </row>
    <row r="106" spans="1:7" ht="15" customHeight="1" x14ac:dyDescent="0.2">
      <c r="A106" s="20"/>
      <c r="B106" s="115">
        <v>2011</v>
      </c>
      <c r="C106" s="118">
        <v>2.7888934460534025</v>
      </c>
      <c r="D106" s="118">
        <v>3.4524156849643464</v>
      </c>
      <c r="E106" s="118">
        <v>3.5017148507067244</v>
      </c>
      <c r="F106" s="118">
        <v>3.3105744706459999</v>
      </c>
      <c r="G106" s="118">
        <v>3.1285132049380917</v>
      </c>
    </row>
    <row r="107" spans="1:7" ht="15" customHeight="1" x14ac:dyDescent="0.2">
      <c r="A107" s="20"/>
      <c r="B107" s="115">
        <v>2012</v>
      </c>
      <c r="C107" s="118">
        <v>2.8340508788093044</v>
      </c>
      <c r="D107" s="118">
        <v>3.4759537543978114</v>
      </c>
      <c r="E107" s="118">
        <v>3.5336800844361034</v>
      </c>
      <c r="F107" s="118">
        <v>3.3103112067845677</v>
      </c>
      <c r="G107" s="118">
        <v>3.030178936614464</v>
      </c>
    </row>
    <row r="108" spans="1:7" ht="15" customHeight="1" x14ac:dyDescent="0.2">
      <c r="A108" s="20"/>
      <c r="B108" s="115">
        <v>2013</v>
      </c>
      <c r="C108" s="118">
        <v>2.8042309436120645</v>
      </c>
      <c r="D108" s="118">
        <v>3.4745336322785891</v>
      </c>
      <c r="E108" s="118">
        <v>3.5452014920957482</v>
      </c>
      <c r="F108" s="118">
        <v>3.2768875839672584</v>
      </c>
      <c r="G108" s="118">
        <v>2.6771716487726644</v>
      </c>
    </row>
    <row r="109" spans="1:7" ht="15" customHeight="1" x14ac:dyDescent="0.2">
      <c r="A109" s="20"/>
      <c r="B109" s="115">
        <v>2014</v>
      </c>
      <c r="C109" s="118">
        <v>2.7853656910661706</v>
      </c>
      <c r="D109" s="118">
        <v>3.4580730617353796</v>
      </c>
      <c r="E109" s="118">
        <v>3.5219770105487758</v>
      </c>
      <c r="F109" s="118">
        <v>3.2823319732041409</v>
      </c>
      <c r="G109" s="118">
        <v>3.0206849535488351</v>
      </c>
    </row>
    <row r="110" spans="1:7" ht="15" customHeight="1" x14ac:dyDescent="0.2">
      <c r="A110" s="20"/>
      <c r="B110" s="115"/>
      <c r="C110" s="118"/>
      <c r="D110" s="118"/>
      <c r="E110" s="118"/>
      <c r="F110" s="118"/>
      <c r="G110" s="118"/>
    </row>
    <row r="111" spans="1:7" ht="15" customHeight="1" x14ac:dyDescent="0.2">
      <c r="B111" s="115">
        <v>2015</v>
      </c>
      <c r="C111" s="118">
        <v>2.7619118500153936</v>
      </c>
      <c r="D111" s="118">
        <v>3.4912370891852316</v>
      </c>
      <c r="E111" s="118">
        <v>3.5633311034438462</v>
      </c>
      <c r="F111" s="118">
        <v>3.2948863092507206</v>
      </c>
      <c r="G111" s="118">
        <v>2.8732870858683865</v>
      </c>
    </row>
    <row r="112" spans="1:7" ht="15" customHeight="1" x14ac:dyDescent="0.2">
      <c r="B112" s="115">
        <v>2016</v>
      </c>
      <c r="C112" s="118">
        <v>2.7483051897462851</v>
      </c>
      <c r="D112" s="118">
        <v>3.48400849981592</v>
      </c>
      <c r="E112" s="118">
        <v>3.5469070272153358</v>
      </c>
      <c r="F112" s="118">
        <v>3.3153900276230455</v>
      </c>
      <c r="G112" s="118">
        <v>3.1764558282313962</v>
      </c>
    </row>
    <row r="113" spans="1:7" ht="15" customHeight="1" x14ac:dyDescent="0.2">
      <c r="B113" s="115">
        <v>2017</v>
      </c>
      <c r="C113" s="118">
        <v>2.8007287060469332</v>
      </c>
      <c r="D113" s="118">
        <v>3.5221169929139178</v>
      </c>
      <c r="E113" s="118">
        <v>3.5952968445301008</v>
      </c>
      <c r="F113" s="118">
        <v>3.3270663687897994</v>
      </c>
      <c r="G113" s="118">
        <v>2.9796105119165053</v>
      </c>
    </row>
    <row r="114" spans="1:7" ht="15" customHeight="1" x14ac:dyDescent="0.2">
      <c r="B114" s="115">
        <v>2018</v>
      </c>
      <c r="C114" s="118">
        <v>2.7926352251299136</v>
      </c>
      <c r="D114" s="118">
        <v>3.5038837342538556</v>
      </c>
      <c r="E114" s="118">
        <v>3.5728240632967596</v>
      </c>
      <c r="F114" s="118">
        <v>3.3206746262077074</v>
      </c>
      <c r="G114" s="118">
        <v>2.8919443822739481</v>
      </c>
    </row>
    <row r="115" spans="1:7" ht="15" customHeight="1" x14ac:dyDescent="0.2">
      <c r="B115" s="115">
        <v>2019</v>
      </c>
      <c r="C115" s="118">
        <v>2.8353507332639296</v>
      </c>
      <c r="D115" s="118">
        <v>3.4984812328251027</v>
      </c>
      <c r="E115" s="118">
        <v>3.5707277567334992</v>
      </c>
      <c r="F115" s="118">
        <v>3.3106806075489263</v>
      </c>
      <c r="G115" s="118">
        <v>3.1029701316197462</v>
      </c>
    </row>
    <row r="116" spans="1:7" s="9" customFormat="1" ht="15" customHeight="1" x14ac:dyDescent="0.2">
      <c r="B116" s="115"/>
      <c r="C116" s="118"/>
      <c r="D116" s="118"/>
      <c r="E116" s="118"/>
      <c r="F116" s="118"/>
      <c r="G116" s="118"/>
    </row>
    <row r="117" spans="1:7" ht="15" customHeight="1" x14ac:dyDescent="0.2">
      <c r="B117" s="115">
        <v>2020</v>
      </c>
      <c r="C117" s="118">
        <v>2.8956310260260549</v>
      </c>
      <c r="D117" s="118">
        <v>3.5372816657624431</v>
      </c>
      <c r="E117" s="118">
        <v>3.6069130914374625</v>
      </c>
      <c r="F117" s="118">
        <v>3.3789433648226046</v>
      </c>
      <c r="G117" s="118">
        <v>3.086950423367496</v>
      </c>
    </row>
    <row r="118" spans="1:7" ht="15" customHeight="1" x14ac:dyDescent="0.2">
      <c r="B118" s="115">
        <v>2021</v>
      </c>
      <c r="C118" s="118">
        <v>2.8744045358850632</v>
      </c>
      <c r="D118" s="118">
        <v>3.5668192019312865</v>
      </c>
      <c r="E118" s="118">
        <v>3.6491447106455261</v>
      </c>
      <c r="F118" s="118">
        <v>3.3820462456640881</v>
      </c>
      <c r="G118" s="118">
        <v>2.947096335367458</v>
      </c>
    </row>
    <row r="119" spans="1:7" s="101" customFormat="1" ht="15" customHeight="1" x14ac:dyDescent="0.2">
      <c r="A119" s="20"/>
      <c r="B119" s="115">
        <v>2022</v>
      </c>
      <c r="C119" s="177">
        <v>2.9619467607521783</v>
      </c>
      <c r="D119" s="177">
        <v>3.6000477434269595</v>
      </c>
      <c r="E119" s="177">
        <v>3.6829191269981636</v>
      </c>
      <c r="F119" s="177">
        <v>3.4023438317343344</v>
      </c>
      <c r="G119" s="177">
        <v>3.1687699314770819</v>
      </c>
    </row>
    <row r="120" spans="1:7" ht="15" customHeight="1" x14ac:dyDescent="0.2">
      <c r="B120" s="186">
        <v>2023</v>
      </c>
      <c r="C120" s="152">
        <v>2.9201202709321357</v>
      </c>
      <c r="D120" s="152" t="s">
        <v>77</v>
      </c>
      <c r="E120" s="152">
        <v>3.6415571891542906</v>
      </c>
      <c r="F120" s="152" t="s">
        <v>77</v>
      </c>
      <c r="G120" s="152" t="s">
        <v>77</v>
      </c>
    </row>
    <row r="121" spans="1:7" ht="12" x14ac:dyDescent="0.25">
      <c r="B121" s="102"/>
      <c r="C121" s="112"/>
      <c r="D121" s="151"/>
      <c r="E121" s="112"/>
      <c r="F121" s="151"/>
      <c r="G121" s="151"/>
    </row>
    <row r="122" spans="1:7" x14ac:dyDescent="0.2">
      <c r="B122" s="387" t="s">
        <v>174</v>
      </c>
      <c r="C122" s="387"/>
      <c r="D122" s="387"/>
      <c r="E122" s="387"/>
      <c r="F122" s="387"/>
      <c r="G122" s="387"/>
    </row>
    <row r="124" spans="1:7" x14ac:dyDescent="0.2">
      <c r="B124" s="388" t="s">
        <v>213</v>
      </c>
      <c r="C124" s="388"/>
      <c r="D124" s="388"/>
      <c r="E124" s="388"/>
      <c r="F124" s="388"/>
      <c r="G124" s="388"/>
    </row>
    <row r="126" spans="1:7" x14ac:dyDescent="0.2">
      <c r="G126" s="107" t="s">
        <v>177</v>
      </c>
    </row>
  </sheetData>
  <mergeCells count="11">
    <mergeCell ref="C35:G35"/>
    <mergeCell ref="C63:G63"/>
    <mergeCell ref="C92:G92"/>
    <mergeCell ref="B122:G122"/>
    <mergeCell ref="B124:G124"/>
    <mergeCell ref="C6:G6"/>
    <mergeCell ref="B3:G3"/>
    <mergeCell ref="B4:B5"/>
    <mergeCell ref="C4:C5"/>
    <mergeCell ref="D4:F4"/>
    <mergeCell ref="G4:G5"/>
  </mergeCells>
  <hyperlinks>
    <hyperlink ref="G126" location="Inhaltsverzeichnis!A1" display="› Zurück zum Inhaltsverzeichnis" xr:uid="{D3C84FFE-FFF3-40CE-B4E6-A7EC44414551}"/>
  </hyperlinks>
  <pageMargins left="0.7" right="0.7" top="0.78740157499999996" bottom="0.78740157499999996"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017F8-2C31-4BB9-9851-1DBCBE549465}">
  <sheetPr codeName="Tabelle16"/>
  <dimension ref="A1:H107"/>
  <sheetViews>
    <sheetView zoomScaleNormal="100" workbookViewId="0">
      <pane ySplit="5" topLeftCell="A6" activePane="bottomLeft" state="frozen"/>
      <selection pane="bottomLeft" activeCell="G62" sqref="G62"/>
    </sheetView>
  </sheetViews>
  <sheetFormatPr baseColWidth="10" defaultColWidth="11.375" defaultRowHeight="11.4" x14ac:dyDescent="0.2"/>
  <cols>
    <col min="1" max="1" width="2.75" style="9" customWidth="1"/>
    <col min="2" max="2" width="12.75" style="100" customWidth="1"/>
    <col min="3" max="7" width="14.25" style="100" customWidth="1"/>
    <col min="8" max="16384" width="11.375" style="100"/>
  </cols>
  <sheetData>
    <row r="1" spans="1:8" s="46" customFormat="1" ht="13.8" x14ac:dyDescent="0.2">
      <c r="C1" s="40"/>
      <c r="E1" s="41"/>
    </row>
    <row r="2" spans="1:8" s="95" customFormat="1" ht="20.100000000000001" customHeight="1" x14ac:dyDescent="0.25">
      <c r="A2" s="93"/>
      <c r="B2" s="97" t="s">
        <v>44</v>
      </c>
      <c r="C2" s="97"/>
      <c r="D2" s="97"/>
      <c r="E2" s="97"/>
      <c r="F2" s="97"/>
      <c r="G2" s="97"/>
    </row>
    <row r="3" spans="1:8" s="80" customFormat="1" ht="50.25" customHeight="1" x14ac:dyDescent="0.2">
      <c r="A3" s="65"/>
      <c r="B3" s="381" t="s">
        <v>212</v>
      </c>
      <c r="C3" s="381"/>
      <c r="D3" s="381"/>
      <c r="E3" s="381"/>
      <c r="F3" s="381"/>
      <c r="G3" s="381"/>
    </row>
    <row r="4" spans="1:8" ht="21" customHeight="1" x14ac:dyDescent="0.2">
      <c r="A4" s="5"/>
      <c r="B4" s="409" t="s">
        <v>0</v>
      </c>
      <c r="C4" s="410" t="s">
        <v>13</v>
      </c>
      <c r="D4" s="412" t="s">
        <v>30</v>
      </c>
      <c r="E4" s="412"/>
      <c r="F4" s="412"/>
      <c r="G4" s="397" t="s">
        <v>38</v>
      </c>
    </row>
    <row r="5" spans="1:8" ht="33" customHeight="1" x14ac:dyDescent="0.2">
      <c r="A5" s="5"/>
      <c r="B5" s="409"/>
      <c r="C5" s="411"/>
      <c r="D5" s="142" t="s">
        <v>31</v>
      </c>
      <c r="E5" s="142" t="s">
        <v>179</v>
      </c>
      <c r="F5" s="142" t="s">
        <v>32</v>
      </c>
      <c r="G5" s="413"/>
    </row>
    <row r="6" spans="1:8" ht="15" customHeight="1" x14ac:dyDescent="0.2">
      <c r="A6" s="20"/>
      <c r="B6" s="154" t="s">
        <v>33</v>
      </c>
      <c r="C6" s="389" t="s">
        <v>215</v>
      </c>
      <c r="D6" s="389"/>
      <c r="E6" s="389"/>
      <c r="F6" s="389"/>
      <c r="G6" s="389"/>
      <c r="H6" s="103"/>
    </row>
    <row r="7" spans="1:8" ht="15" customHeight="1" x14ac:dyDescent="0.2">
      <c r="A7" s="191"/>
      <c r="B7" s="115">
        <v>2000</v>
      </c>
      <c r="C7" s="118">
        <v>84.410153870622096</v>
      </c>
      <c r="D7" s="118">
        <v>79.560902270249798</v>
      </c>
      <c r="E7" s="118">
        <v>85.491427016178264</v>
      </c>
      <c r="F7" s="118">
        <v>64.836899858347394</v>
      </c>
      <c r="G7" s="118">
        <v>83.001540535408466</v>
      </c>
    </row>
    <row r="8" spans="1:8" ht="15" customHeight="1" x14ac:dyDescent="0.2">
      <c r="A8" s="191"/>
      <c r="B8" s="115">
        <v>2001</v>
      </c>
      <c r="C8" s="118">
        <v>85.457439752039406</v>
      </c>
      <c r="D8" s="118">
        <v>80.264092789192176</v>
      </c>
      <c r="E8" s="118">
        <v>86.337132488341211</v>
      </c>
      <c r="F8" s="118">
        <v>65.197440120743366</v>
      </c>
      <c r="G8" s="118">
        <v>77.026964361604328</v>
      </c>
    </row>
    <row r="9" spans="1:8" ht="15" customHeight="1" x14ac:dyDescent="0.2">
      <c r="A9" s="191"/>
      <c r="B9" s="115">
        <v>2002</v>
      </c>
      <c r="C9" s="118">
        <v>83.786009240015701</v>
      </c>
      <c r="D9" s="118">
        <v>80.44530918389637</v>
      </c>
      <c r="E9" s="118">
        <v>86.221156813984493</v>
      </c>
      <c r="F9" s="118">
        <v>66.081287320819811</v>
      </c>
      <c r="G9" s="118">
        <v>68.260956550589412</v>
      </c>
    </row>
    <row r="10" spans="1:8" ht="15" customHeight="1" x14ac:dyDescent="0.2">
      <c r="A10" s="192"/>
      <c r="B10" s="115">
        <v>2003</v>
      </c>
      <c r="C10" s="118">
        <v>83.526243165854297</v>
      </c>
      <c r="D10" s="118">
        <v>82.293061155364043</v>
      </c>
      <c r="E10" s="118">
        <v>88.216498831408884</v>
      </c>
      <c r="F10" s="118">
        <v>67.563656613996486</v>
      </c>
      <c r="G10" s="118">
        <v>68.862346835338656</v>
      </c>
    </row>
    <row r="11" spans="1:8" ht="15" customHeight="1" x14ac:dyDescent="0.2">
      <c r="A11" s="192"/>
      <c r="B11" s="115">
        <v>2004</v>
      </c>
      <c r="C11" s="118">
        <v>84.781107441077097</v>
      </c>
      <c r="D11" s="118">
        <v>82.257567056536857</v>
      </c>
      <c r="E11" s="118">
        <v>88.413476419666253</v>
      </c>
      <c r="F11" s="118">
        <v>66.968214619755386</v>
      </c>
      <c r="G11" s="118">
        <v>66.349024148388125</v>
      </c>
    </row>
    <row r="12" spans="1:8" ht="15" customHeight="1" x14ac:dyDescent="0.2">
      <c r="A12" s="192"/>
      <c r="B12" s="115"/>
      <c r="C12" s="118"/>
      <c r="D12" s="118"/>
      <c r="E12" s="118"/>
      <c r="F12" s="118"/>
      <c r="G12" s="118"/>
    </row>
    <row r="13" spans="1:8" ht="15" customHeight="1" x14ac:dyDescent="0.2">
      <c r="A13" s="192"/>
      <c r="B13" s="115">
        <v>2005</v>
      </c>
      <c r="C13" s="118">
        <v>85.124090724357103</v>
      </c>
      <c r="D13" s="118">
        <v>83.781440715606934</v>
      </c>
      <c r="E13" s="118">
        <v>90.198020977268925</v>
      </c>
      <c r="F13" s="118">
        <v>67.851939494711999</v>
      </c>
      <c r="G13" s="118">
        <v>66.969668357142524</v>
      </c>
    </row>
    <row r="14" spans="1:8" ht="15" customHeight="1" x14ac:dyDescent="0.2">
      <c r="A14" s="192"/>
      <c r="B14" s="115">
        <v>2006</v>
      </c>
      <c r="C14" s="118">
        <v>87.360867948258203</v>
      </c>
      <c r="D14" s="118">
        <v>84.318955807530656</v>
      </c>
      <c r="E14" s="118">
        <v>90.340146181544156</v>
      </c>
      <c r="F14" s="118">
        <v>69.361242712337074</v>
      </c>
      <c r="G14" s="118">
        <v>78.124940111790124</v>
      </c>
    </row>
    <row r="15" spans="1:8" ht="15" customHeight="1" x14ac:dyDescent="0.2">
      <c r="A15" s="192"/>
      <c r="B15" s="115">
        <v>2007</v>
      </c>
      <c r="C15" s="118">
        <v>88.172943123421206</v>
      </c>
      <c r="D15" s="118">
        <v>85.424523636463235</v>
      </c>
      <c r="E15" s="118">
        <v>90.947289327043947</v>
      </c>
      <c r="F15" s="118">
        <v>71.702969550817656</v>
      </c>
      <c r="G15" s="118">
        <v>77.838632137492468</v>
      </c>
    </row>
    <row r="16" spans="1:8" ht="15" customHeight="1" x14ac:dyDescent="0.2">
      <c r="A16" s="192"/>
      <c r="B16" s="115">
        <v>2008</v>
      </c>
      <c r="C16" s="118">
        <v>90.3453751921503</v>
      </c>
      <c r="D16" s="118">
        <v>85.931618229497715</v>
      </c>
      <c r="E16" s="118">
        <v>90.467388504552886</v>
      </c>
      <c r="F16" s="118">
        <v>74.706195778009203</v>
      </c>
      <c r="G16" s="118">
        <v>79.070802055010347</v>
      </c>
    </row>
    <row r="17" spans="1:8" ht="15" customHeight="1" x14ac:dyDescent="0.2">
      <c r="A17" s="192"/>
      <c r="B17" s="115">
        <v>2009</v>
      </c>
      <c r="C17" s="118">
        <v>87.256850639802593</v>
      </c>
      <c r="D17" s="118">
        <v>87.546709322668008</v>
      </c>
      <c r="E17" s="118">
        <v>92.329768947174983</v>
      </c>
      <c r="F17" s="118">
        <v>75.692736495797277</v>
      </c>
      <c r="G17" s="118">
        <v>70.864546270738671</v>
      </c>
    </row>
    <row r="18" spans="1:8" ht="15" customHeight="1" x14ac:dyDescent="0.2">
      <c r="A18" s="192"/>
      <c r="B18" s="115"/>
      <c r="C18" s="118"/>
      <c r="D18" s="118"/>
      <c r="E18" s="118"/>
      <c r="F18" s="118"/>
      <c r="G18" s="118"/>
    </row>
    <row r="19" spans="1:8" ht="15" customHeight="1" x14ac:dyDescent="0.2">
      <c r="A19" s="192"/>
      <c r="B19" s="115">
        <v>2010</v>
      </c>
      <c r="C19" s="118">
        <v>88.046118381109906</v>
      </c>
      <c r="D19" s="118">
        <v>87.637814837739953</v>
      </c>
      <c r="E19" s="118">
        <v>91.910790195803926</v>
      </c>
      <c r="F19" s="118">
        <v>77.074370437505166</v>
      </c>
      <c r="G19" s="118">
        <v>82.451398079278547</v>
      </c>
    </row>
    <row r="20" spans="1:8" ht="15" customHeight="1" x14ac:dyDescent="0.2">
      <c r="A20" s="192"/>
      <c r="B20" s="115">
        <v>2011</v>
      </c>
      <c r="C20" s="118">
        <v>90.458420471951996</v>
      </c>
      <c r="D20" s="118">
        <v>88.701574076760068</v>
      </c>
      <c r="E20" s="118">
        <v>92.803169087471076</v>
      </c>
      <c r="F20" s="118">
        <v>78.579703704044746</v>
      </c>
      <c r="G20" s="118">
        <v>90.107877758650787</v>
      </c>
    </row>
    <row r="21" spans="1:8" ht="15" customHeight="1" x14ac:dyDescent="0.2">
      <c r="A21" s="192"/>
      <c r="B21" s="115">
        <v>2012</v>
      </c>
      <c r="C21" s="118">
        <v>92.671728412324896</v>
      </c>
      <c r="D21" s="118">
        <v>90.398146332796713</v>
      </c>
      <c r="E21" s="118">
        <v>94.762606176234925</v>
      </c>
      <c r="F21" s="118">
        <v>79.607469972959294</v>
      </c>
      <c r="G21" s="118">
        <v>87.024881894259877</v>
      </c>
    </row>
    <row r="22" spans="1:8" ht="15" customHeight="1" x14ac:dyDescent="0.2">
      <c r="A22" s="192"/>
      <c r="B22" s="115">
        <v>2013</v>
      </c>
      <c r="C22" s="118">
        <v>91.727189974756399</v>
      </c>
      <c r="D22" s="118">
        <v>90.797240746833296</v>
      </c>
      <c r="E22" s="118">
        <v>95.14012304391612</v>
      </c>
      <c r="F22" s="118">
        <v>80.064029963885744</v>
      </c>
      <c r="G22" s="118">
        <v>75.886854146486812</v>
      </c>
    </row>
    <row r="23" spans="1:8" ht="15" customHeight="1" x14ac:dyDescent="0.2">
      <c r="A23" s="192"/>
      <c r="B23" s="115">
        <v>2014</v>
      </c>
      <c r="C23" s="118">
        <v>93.132739214620401</v>
      </c>
      <c r="D23" s="118">
        <v>91.430810796894292</v>
      </c>
      <c r="E23" s="118">
        <v>95.400271922577005</v>
      </c>
      <c r="F23" s="118">
        <v>81.650733703773284</v>
      </c>
      <c r="G23" s="118">
        <v>88.646196380198177</v>
      </c>
    </row>
    <row r="24" spans="1:8" ht="15" customHeight="1" x14ac:dyDescent="0.2">
      <c r="A24" s="192"/>
      <c r="B24" s="115"/>
      <c r="C24" s="118"/>
      <c r="D24" s="118"/>
      <c r="E24" s="118"/>
      <c r="F24" s="118"/>
      <c r="G24" s="118"/>
    </row>
    <row r="25" spans="1:8" ht="15" customHeight="1" x14ac:dyDescent="0.2">
      <c r="A25" s="192"/>
      <c r="B25" s="115">
        <v>2015</v>
      </c>
      <c r="C25" s="118">
        <v>94.097187517025702</v>
      </c>
      <c r="D25" s="118">
        <v>94.590068389359018</v>
      </c>
      <c r="E25" s="118">
        <v>98.757342240005272</v>
      </c>
      <c r="F25" s="118">
        <v>84.318869367617353</v>
      </c>
      <c r="G25" s="118">
        <v>85.79540073342757</v>
      </c>
    </row>
    <row r="26" spans="1:8" ht="15" customHeight="1" x14ac:dyDescent="0.2">
      <c r="A26" s="192"/>
      <c r="B26" s="115">
        <v>2016</v>
      </c>
      <c r="C26" s="118">
        <v>96.265213905159001</v>
      </c>
      <c r="D26" s="118">
        <v>96.979283075661087</v>
      </c>
      <c r="E26" s="118">
        <v>100.5488803207013</v>
      </c>
      <c r="F26" s="118">
        <v>88.21639614106698</v>
      </c>
      <c r="G26" s="118">
        <v>98.281398312730758</v>
      </c>
    </row>
    <row r="27" spans="1:8" ht="15" customHeight="1" x14ac:dyDescent="0.2">
      <c r="A27" s="192"/>
      <c r="B27" s="115">
        <v>2017</v>
      </c>
      <c r="C27" s="118">
        <v>99.294532422780406</v>
      </c>
      <c r="D27" s="118">
        <v>99.566587052424936</v>
      </c>
      <c r="E27" s="118">
        <v>103.47751592160699</v>
      </c>
      <c r="F27" s="118">
        <v>89.950672755788347</v>
      </c>
      <c r="G27" s="118">
        <v>94.510765405583044</v>
      </c>
    </row>
    <row r="28" spans="1:8" ht="15" customHeight="1" x14ac:dyDescent="0.2">
      <c r="A28" s="192"/>
      <c r="B28" s="115">
        <v>2018</v>
      </c>
      <c r="C28" s="118">
        <v>99.949640767759007</v>
      </c>
      <c r="D28" s="118">
        <v>100.4816228966389</v>
      </c>
      <c r="E28" s="118">
        <v>104.43362972881761</v>
      </c>
      <c r="F28" s="118">
        <v>90.764477903971539</v>
      </c>
      <c r="G28" s="118">
        <v>94.939850422855955</v>
      </c>
    </row>
    <row r="29" spans="1:8" ht="15" customHeight="1" x14ac:dyDescent="0.2">
      <c r="A29" s="192"/>
      <c r="B29" s="115">
        <v>2019</v>
      </c>
      <c r="C29" s="118">
        <v>102.250028669949</v>
      </c>
      <c r="D29" s="118">
        <v>102.54993339263321</v>
      </c>
      <c r="E29" s="118">
        <v>106.3511820035466</v>
      </c>
      <c r="F29" s="118">
        <v>93.209565755988905</v>
      </c>
      <c r="G29" s="118">
        <v>103.6272151359732</v>
      </c>
    </row>
    <row r="30" spans="1:8" ht="15" customHeight="1" x14ac:dyDescent="0.2">
      <c r="A30" s="192"/>
      <c r="B30" s="115"/>
      <c r="C30" s="118"/>
      <c r="D30" s="118"/>
      <c r="E30" s="118"/>
      <c r="F30" s="118"/>
      <c r="G30" s="118"/>
    </row>
    <row r="31" spans="1:8" ht="15" customHeight="1" x14ac:dyDescent="0.2">
      <c r="A31" s="192"/>
      <c r="B31" s="115">
        <v>2020</v>
      </c>
      <c r="C31" s="118">
        <v>100</v>
      </c>
      <c r="D31" s="118">
        <v>100</v>
      </c>
      <c r="E31" s="118">
        <v>100</v>
      </c>
      <c r="F31" s="118">
        <v>100</v>
      </c>
      <c r="G31" s="118">
        <v>100</v>
      </c>
      <c r="H31" s="103"/>
    </row>
    <row r="32" spans="1:8" ht="15" customHeight="1" x14ac:dyDescent="0.2">
      <c r="A32" s="192"/>
      <c r="B32" s="115">
        <v>2021</v>
      </c>
      <c r="C32" s="118">
        <v>99.693561607190503</v>
      </c>
      <c r="D32" s="118">
        <v>103.55416210201832</v>
      </c>
      <c r="E32" s="118">
        <v>103.56242058660824</v>
      </c>
      <c r="F32" s="118">
        <v>103.53411572834872</v>
      </c>
      <c r="G32" s="118">
        <v>95.510553076935565</v>
      </c>
      <c r="H32" s="103"/>
    </row>
    <row r="33" spans="1:8" ht="15" customHeight="1" x14ac:dyDescent="0.2">
      <c r="A33" s="192"/>
      <c r="B33" s="115">
        <v>2022</v>
      </c>
      <c r="C33" s="118">
        <v>100.916265193344</v>
      </c>
      <c r="D33" s="118">
        <v>109.00850066891809</v>
      </c>
      <c r="E33" s="118">
        <v>111.04964789080566</v>
      </c>
      <c r="F33" s="118">
        <v>104.06680494883842</v>
      </c>
      <c r="G33" s="118">
        <v>101.432518622367</v>
      </c>
      <c r="H33" s="103"/>
    </row>
    <row r="34" spans="1:8" ht="15" customHeight="1" x14ac:dyDescent="0.2">
      <c r="A34" s="192"/>
      <c r="B34" s="115">
        <v>2023</v>
      </c>
      <c r="C34" s="118">
        <v>100.18027083056499</v>
      </c>
      <c r="D34" s="118" t="s">
        <v>77</v>
      </c>
      <c r="E34" s="118">
        <v>109.35041558632359</v>
      </c>
      <c r="F34" s="118" t="s">
        <v>77</v>
      </c>
      <c r="G34" s="118" t="s">
        <v>77</v>
      </c>
      <c r="H34" s="103"/>
    </row>
    <row r="35" spans="1:8" ht="15" customHeight="1" x14ac:dyDescent="0.2">
      <c r="A35" s="192"/>
      <c r="B35" s="155"/>
      <c r="C35" s="408" t="s">
        <v>8</v>
      </c>
      <c r="D35" s="389"/>
      <c r="E35" s="389"/>
      <c r="F35" s="389"/>
      <c r="G35" s="389"/>
    </row>
    <row r="36" spans="1:8" ht="15" customHeight="1" x14ac:dyDescent="0.2">
      <c r="A36" s="192"/>
      <c r="B36" s="115">
        <v>2001</v>
      </c>
      <c r="C36" s="363">
        <v>1.2407107834710445</v>
      </c>
      <c r="D36" s="363">
        <v>0.88383929653512894</v>
      </c>
      <c r="E36" s="363">
        <v>0.98922839596876599</v>
      </c>
      <c r="F36" s="363">
        <v>0.5560726425595135</v>
      </c>
      <c r="G36" s="363">
        <v>-7.1981509442651657</v>
      </c>
    </row>
    <row r="37" spans="1:8" ht="15" customHeight="1" x14ac:dyDescent="0.2">
      <c r="A37" s="192"/>
      <c r="B37" s="115">
        <v>2002</v>
      </c>
      <c r="C37" s="363">
        <v>-1.9558630785961668</v>
      </c>
      <c r="D37" s="363">
        <v>0.22577517343918885</v>
      </c>
      <c r="E37" s="363">
        <v>-0.13432884671307477</v>
      </c>
      <c r="F37" s="363">
        <v>1.3556470904986355</v>
      </c>
      <c r="G37" s="363">
        <v>-11.380440451817293</v>
      </c>
    </row>
    <row r="38" spans="1:8" ht="15" customHeight="1" x14ac:dyDescent="0.2">
      <c r="A38" s="192"/>
      <c r="B38" s="115">
        <v>2003</v>
      </c>
      <c r="C38" s="363">
        <v>-0.31003514371626295</v>
      </c>
      <c r="D38" s="363">
        <v>2.2969045556699257</v>
      </c>
      <c r="E38" s="363">
        <v>2.3142139251612974</v>
      </c>
      <c r="F38" s="363">
        <v>2.2432512338627362</v>
      </c>
      <c r="G38" s="363">
        <v>0.88101649191443698</v>
      </c>
    </row>
    <row r="39" spans="1:8" ht="15" customHeight="1" x14ac:dyDescent="0.2">
      <c r="A39" s="192"/>
      <c r="B39" s="115">
        <v>2004</v>
      </c>
      <c r="C39" s="363">
        <v>1.5023592917151376</v>
      </c>
      <c r="D39" s="363">
        <v>-4.3131338570773892E-2</v>
      </c>
      <c r="E39" s="363">
        <v>0.2232888301697642</v>
      </c>
      <c r="F39" s="363">
        <v>-0.88130516328173769</v>
      </c>
      <c r="G39" s="363">
        <v>-3.6497778574992594</v>
      </c>
    </row>
    <row r="40" spans="1:8" ht="15" customHeight="1" x14ac:dyDescent="0.2">
      <c r="A40" s="192"/>
      <c r="B40" s="115">
        <v>2005</v>
      </c>
      <c r="C40" s="363">
        <v>0.4045515488440401</v>
      </c>
      <c r="D40" s="363">
        <v>1.8525634948851462</v>
      </c>
      <c r="E40" s="363">
        <v>2.0184078602815134</v>
      </c>
      <c r="F40" s="363">
        <v>1.3196183890736677</v>
      </c>
      <c r="G40" s="363">
        <v>0.93542326616039873</v>
      </c>
    </row>
    <row r="41" spans="1:8" ht="15" customHeight="1" x14ac:dyDescent="0.2">
      <c r="A41" s="192"/>
      <c r="B41" s="115"/>
      <c r="C41" s="363"/>
      <c r="D41" s="363"/>
      <c r="E41" s="363"/>
      <c r="F41" s="363"/>
      <c r="G41" s="363"/>
    </row>
    <row r="42" spans="1:8" ht="15" customHeight="1" x14ac:dyDescent="0.2">
      <c r="A42" s="192"/>
      <c r="B42" s="115">
        <v>2006</v>
      </c>
      <c r="C42" s="363">
        <v>2.6276665099942988</v>
      </c>
      <c r="D42" s="363">
        <v>0.64156821287939181</v>
      </c>
      <c r="E42" s="363">
        <v>0.15757020246712727</v>
      </c>
      <c r="F42" s="363">
        <v>2.2244068907458399</v>
      </c>
      <c r="G42" s="363">
        <v>16.657200234526556</v>
      </c>
    </row>
    <row r="43" spans="1:8" ht="15" customHeight="1" x14ac:dyDescent="0.2">
      <c r="A43" s="192"/>
      <c r="B43" s="115">
        <v>2007</v>
      </c>
      <c r="C43" s="363">
        <v>0.92956399614067209</v>
      </c>
      <c r="D43" s="363">
        <v>1.3111735295396585</v>
      </c>
      <c r="E43" s="363">
        <v>0.67206349686405531</v>
      </c>
      <c r="F43" s="363">
        <v>3.3761316073768484</v>
      </c>
      <c r="G43" s="363">
        <v>-0.36647448802901295</v>
      </c>
    </row>
    <row r="44" spans="1:8" ht="15" customHeight="1" x14ac:dyDescent="0.2">
      <c r="A44" s="192"/>
      <c r="B44" s="115">
        <v>2008</v>
      </c>
      <c r="C44" s="363">
        <v>2.4638307305770724</v>
      </c>
      <c r="D44" s="363">
        <v>0.5936171153760057</v>
      </c>
      <c r="E44" s="363">
        <v>-0.52766918733041734</v>
      </c>
      <c r="F44" s="363">
        <v>4.1884265686696409</v>
      </c>
      <c r="G44" s="363">
        <v>1.5829799210004154</v>
      </c>
    </row>
    <row r="45" spans="1:8" ht="15" customHeight="1" x14ac:dyDescent="0.2">
      <c r="A45" s="192"/>
      <c r="B45" s="115">
        <v>2009</v>
      </c>
      <c r="C45" s="363">
        <v>-3.4185751575870995</v>
      </c>
      <c r="D45" s="363">
        <v>1.8795073646313369</v>
      </c>
      <c r="E45" s="363">
        <v>2.0586207620311399</v>
      </c>
      <c r="F45" s="363">
        <v>1.3205607747978547</v>
      </c>
      <c r="G45" s="363">
        <v>-10.378364163503107</v>
      </c>
    </row>
    <row r="46" spans="1:8" ht="15" customHeight="1" x14ac:dyDescent="0.2">
      <c r="A46" s="192"/>
      <c r="B46" s="115">
        <v>2010</v>
      </c>
      <c r="C46" s="363">
        <v>0.90453383948661781</v>
      </c>
      <c r="D46" s="363">
        <v>0.10406503656940913</v>
      </c>
      <c r="E46" s="363">
        <v>-0.45378511843863123</v>
      </c>
      <c r="F46" s="363">
        <v>1.8253190539419961</v>
      </c>
      <c r="G46" s="363">
        <v>16.350703445235084</v>
      </c>
    </row>
    <row r="47" spans="1:8" ht="15" customHeight="1" x14ac:dyDescent="0.2">
      <c r="A47" s="192"/>
      <c r="B47" s="115"/>
      <c r="C47" s="363"/>
      <c r="D47" s="363"/>
      <c r="E47" s="363"/>
      <c r="F47" s="363"/>
      <c r="G47" s="363"/>
    </row>
    <row r="48" spans="1:8" ht="15" customHeight="1" x14ac:dyDescent="0.2">
      <c r="A48" s="192"/>
      <c r="B48" s="115">
        <v>2011</v>
      </c>
      <c r="C48" s="363">
        <v>2.7398165134326291</v>
      </c>
      <c r="D48" s="363">
        <v>1.2138130566007845</v>
      </c>
      <c r="E48" s="363">
        <v>0.97091852846226345</v>
      </c>
      <c r="F48" s="363">
        <v>1.9530918747629187</v>
      </c>
      <c r="G48" s="363">
        <v>9.2860519745346153</v>
      </c>
    </row>
    <row r="49" spans="1:7" ht="15" customHeight="1" x14ac:dyDescent="0.2">
      <c r="A49" s="192"/>
      <c r="B49" s="115">
        <v>2012</v>
      </c>
      <c r="C49" s="363">
        <v>2.4467682818529539</v>
      </c>
      <c r="D49" s="363">
        <v>1.9126743507037105</v>
      </c>
      <c r="E49" s="363">
        <v>2.1113902768956052</v>
      </c>
      <c r="F49" s="363">
        <v>1.3079284095870776</v>
      </c>
      <c r="G49" s="363">
        <v>-3.4214498677335996</v>
      </c>
    </row>
    <row r="50" spans="1:7" ht="15" customHeight="1" x14ac:dyDescent="0.2">
      <c r="A50" s="192"/>
      <c r="B50" s="115">
        <v>2013</v>
      </c>
      <c r="C50" s="363">
        <v>-1.0192304101267524</v>
      </c>
      <c r="D50" s="363">
        <v>0.44148517444963886</v>
      </c>
      <c r="E50" s="363">
        <v>0.39838168547106534</v>
      </c>
      <c r="F50" s="363">
        <v>0.57351400701658406</v>
      </c>
      <c r="G50" s="363">
        <v>-12.798670340404939</v>
      </c>
    </row>
    <row r="51" spans="1:7" ht="15" customHeight="1" x14ac:dyDescent="0.2">
      <c r="A51" s="192"/>
      <c r="B51" s="115">
        <v>2014</v>
      </c>
      <c r="C51" s="363">
        <v>1.5323147261469643</v>
      </c>
      <c r="D51" s="363">
        <v>0.69778557679694586</v>
      </c>
      <c r="E51" s="363">
        <v>0.273437610061535</v>
      </c>
      <c r="F51" s="363">
        <v>1.9817934977832721</v>
      </c>
      <c r="G51" s="363">
        <v>16.813639697175489</v>
      </c>
    </row>
    <row r="52" spans="1:7" ht="15" customHeight="1" x14ac:dyDescent="0.2">
      <c r="A52" s="192"/>
      <c r="B52" s="115">
        <v>2015</v>
      </c>
      <c r="C52" s="363">
        <v>1.0355631226337891</v>
      </c>
      <c r="D52" s="363">
        <v>3.4553533594739179</v>
      </c>
      <c r="E52" s="363">
        <v>3.5189316023676867</v>
      </c>
      <c r="F52" s="363">
        <v>3.2677424228960348</v>
      </c>
      <c r="G52" s="363">
        <v>-3.2159255142134953</v>
      </c>
    </row>
    <row r="53" spans="1:7" ht="15" customHeight="1" x14ac:dyDescent="0.2">
      <c r="A53" s="192"/>
      <c r="B53" s="115"/>
      <c r="C53" s="363"/>
      <c r="D53" s="363"/>
      <c r="E53" s="363"/>
      <c r="F53" s="363"/>
      <c r="G53" s="363"/>
    </row>
    <row r="54" spans="1:7" ht="15" customHeight="1" x14ac:dyDescent="0.2">
      <c r="A54" s="192"/>
      <c r="B54" s="115">
        <v>2016</v>
      </c>
      <c r="C54" s="363">
        <v>2.3040288932557331</v>
      </c>
      <c r="D54" s="363">
        <v>2.5258620984048576</v>
      </c>
      <c r="E54" s="363">
        <v>1.8140808977444323</v>
      </c>
      <c r="F54" s="363">
        <v>4.6223660287201085</v>
      </c>
      <c r="G54" s="363">
        <v>14.553224849544179</v>
      </c>
    </row>
    <row r="55" spans="1:7" ht="15" customHeight="1" x14ac:dyDescent="0.2">
      <c r="A55" s="192"/>
      <c r="B55" s="115">
        <v>2017</v>
      </c>
      <c r="C55" s="363">
        <v>3.1468465032508135</v>
      </c>
      <c r="D55" s="363">
        <v>2.6678934868442781</v>
      </c>
      <c r="E55" s="363">
        <v>2.912648645678388</v>
      </c>
      <c r="F55" s="363">
        <v>1.9659345547828622</v>
      </c>
      <c r="G55" s="363">
        <v>-3.8365682335426214</v>
      </c>
    </row>
    <row r="56" spans="1:7" ht="15" customHeight="1" x14ac:dyDescent="0.2">
      <c r="A56" s="192"/>
      <c r="B56" s="115">
        <v>2018</v>
      </c>
      <c r="C56" s="363">
        <v>0.6597627573180489</v>
      </c>
      <c r="D56" s="363">
        <v>0.9190189915138518</v>
      </c>
      <c r="E56" s="363">
        <v>0.92398217979541641</v>
      </c>
      <c r="F56" s="363">
        <v>0.90472380389265084</v>
      </c>
      <c r="G56" s="363">
        <v>0.45400649908140167</v>
      </c>
    </row>
    <row r="57" spans="1:7" ht="15" customHeight="1" x14ac:dyDescent="0.2">
      <c r="A57" s="192"/>
      <c r="B57" s="115">
        <v>2019</v>
      </c>
      <c r="C57" s="363">
        <v>2.3015469435604388</v>
      </c>
      <c r="D57" s="363">
        <v>2.0583967857703698</v>
      </c>
      <c r="E57" s="363">
        <v>1.8361444294412621</v>
      </c>
      <c r="F57" s="363">
        <v>2.6938819111637997</v>
      </c>
      <c r="G57" s="363">
        <v>9.1503880345548083</v>
      </c>
    </row>
    <row r="58" spans="1:7" s="9" customFormat="1" ht="15" customHeight="1" x14ac:dyDescent="0.2">
      <c r="A58" s="192"/>
      <c r="B58" s="115">
        <v>2020</v>
      </c>
      <c r="C58" s="363">
        <v>-2.2005164196205982</v>
      </c>
      <c r="D58" s="363">
        <v>-2.486528570301715</v>
      </c>
      <c r="E58" s="363">
        <v>-5.9718960183581231</v>
      </c>
      <c r="F58" s="363">
        <v>7.2851259298724926</v>
      </c>
      <c r="G58" s="363">
        <v>-3.5002534143311692</v>
      </c>
    </row>
    <row r="59" spans="1:7" s="9" customFormat="1" ht="15" customHeight="1" x14ac:dyDescent="0.2">
      <c r="A59" s="192"/>
      <c r="B59" s="115"/>
      <c r="C59" s="363"/>
      <c r="D59" s="363"/>
      <c r="E59" s="363"/>
      <c r="F59" s="363"/>
      <c r="G59" s="363"/>
    </row>
    <row r="60" spans="1:7" s="20" customFormat="1" ht="15" customHeight="1" x14ac:dyDescent="0.2">
      <c r="A60" s="192"/>
      <c r="B60" s="115">
        <v>2021</v>
      </c>
      <c r="C60" s="363">
        <v>-0.30643839280951113</v>
      </c>
      <c r="D60" s="363">
        <v>3.5541621020183243</v>
      </c>
      <c r="E60" s="363">
        <v>3.5624205866082406</v>
      </c>
      <c r="F60" s="363">
        <v>3.5341157283487092</v>
      </c>
      <c r="G60" s="363">
        <v>-4.4894469230644489</v>
      </c>
    </row>
    <row r="61" spans="1:7" s="9" customFormat="1" ht="15" customHeight="1" x14ac:dyDescent="0.2">
      <c r="A61" s="192"/>
      <c r="B61" s="115">
        <v>2022</v>
      </c>
      <c r="C61" s="367">
        <v>1.2264619363998293</v>
      </c>
      <c r="D61" s="367">
        <v>5.2671360147999877</v>
      </c>
      <c r="E61" s="367">
        <v>7.2296758435999777</v>
      </c>
      <c r="F61" s="367">
        <v>0.51450598359998878</v>
      </c>
      <c r="G61" s="367">
        <v>6.2003258851000282</v>
      </c>
    </row>
    <row r="62" spans="1:7" s="9" customFormat="1" ht="15" customHeight="1" x14ac:dyDescent="0.2">
      <c r="A62" s="192"/>
      <c r="B62" s="186">
        <v>2023</v>
      </c>
      <c r="C62" s="368">
        <v>-0.72931193140068729</v>
      </c>
      <c r="D62" s="368" t="s">
        <v>77</v>
      </c>
      <c r="E62" s="368">
        <v>-1.5301555085999894</v>
      </c>
      <c r="F62" s="368" t="s">
        <v>77</v>
      </c>
      <c r="G62" s="368" t="s">
        <v>77</v>
      </c>
    </row>
    <row r="63" spans="1:7" ht="15" customHeight="1" x14ac:dyDescent="0.2">
      <c r="A63" s="20"/>
      <c r="B63" s="102"/>
      <c r="C63" s="117"/>
      <c r="D63" s="153"/>
      <c r="E63" s="117"/>
      <c r="F63" s="117"/>
      <c r="G63" s="117"/>
    </row>
    <row r="64" spans="1:7" x14ac:dyDescent="0.2">
      <c r="A64" s="20"/>
      <c r="B64" s="390" t="s">
        <v>180</v>
      </c>
      <c r="C64" s="390"/>
      <c r="D64" s="390"/>
      <c r="E64" s="390"/>
      <c r="F64" s="390"/>
      <c r="G64" s="390"/>
    </row>
    <row r="65" spans="1:7" x14ac:dyDescent="0.2">
      <c r="A65" s="20"/>
      <c r="B65" s="99"/>
      <c r="C65" s="99"/>
      <c r="D65" s="99"/>
      <c r="E65" s="99"/>
      <c r="F65" s="99"/>
      <c r="G65" s="99"/>
    </row>
    <row r="66" spans="1:7" x14ac:dyDescent="0.2">
      <c r="A66" s="20"/>
      <c r="B66" s="388" t="s">
        <v>213</v>
      </c>
      <c r="C66" s="388"/>
      <c r="D66" s="388"/>
      <c r="E66" s="388"/>
      <c r="F66" s="388"/>
      <c r="G66" s="388"/>
    </row>
    <row r="68" spans="1:7" x14ac:dyDescent="0.2">
      <c r="G68" s="107" t="s">
        <v>177</v>
      </c>
    </row>
    <row r="83" spans="1:1" x14ac:dyDescent="0.2">
      <c r="A83" s="20"/>
    </row>
    <row r="84" spans="1:1" x14ac:dyDescent="0.2">
      <c r="A84" s="20"/>
    </row>
    <row r="85" spans="1:1" x14ac:dyDescent="0.2">
      <c r="A85" s="20"/>
    </row>
    <row r="86" spans="1:1" x14ac:dyDescent="0.2">
      <c r="A86" s="20"/>
    </row>
    <row r="87" spans="1:1" x14ac:dyDescent="0.2">
      <c r="A87" s="20"/>
    </row>
    <row r="88" spans="1:1" x14ac:dyDescent="0.2">
      <c r="A88" s="20"/>
    </row>
    <row r="89" spans="1:1" x14ac:dyDescent="0.2">
      <c r="A89" s="20"/>
    </row>
    <row r="90" spans="1:1" x14ac:dyDescent="0.2">
      <c r="A90" s="20"/>
    </row>
    <row r="91" spans="1:1" x14ac:dyDescent="0.2">
      <c r="A91" s="20"/>
    </row>
    <row r="92" spans="1:1" x14ac:dyDescent="0.2">
      <c r="A92" s="20"/>
    </row>
    <row r="93" spans="1:1" x14ac:dyDescent="0.2">
      <c r="A93" s="20"/>
    </row>
    <row r="94" spans="1:1" x14ac:dyDescent="0.2">
      <c r="A94" s="20"/>
    </row>
    <row r="95" spans="1:1" x14ac:dyDescent="0.2">
      <c r="A95" s="20"/>
    </row>
    <row r="96" spans="1:1" x14ac:dyDescent="0.2">
      <c r="A96" s="20"/>
    </row>
    <row r="97" spans="1:1" x14ac:dyDescent="0.2">
      <c r="A97" s="20"/>
    </row>
    <row r="98" spans="1:1" x14ac:dyDescent="0.2">
      <c r="A98" s="20"/>
    </row>
    <row r="99" spans="1:1" x14ac:dyDescent="0.2">
      <c r="A99" s="20"/>
    </row>
    <row r="100" spans="1:1" x14ac:dyDescent="0.2">
      <c r="A100" s="20"/>
    </row>
    <row r="101" spans="1:1" x14ac:dyDescent="0.2">
      <c r="A101" s="20"/>
    </row>
    <row r="102" spans="1:1" x14ac:dyDescent="0.2">
      <c r="A102" s="20"/>
    </row>
    <row r="103" spans="1:1" x14ac:dyDescent="0.2">
      <c r="A103" s="20"/>
    </row>
    <row r="104" spans="1:1" x14ac:dyDescent="0.2">
      <c r="A104" s="20"/>
    </row>
    <row r="105" spans="1:1" x14ac:dyDescent="0.2">
      <c r="A105" s="20"/>
    </row>
    <row r="106" spans="1:1" x14ac:dyDescent="0.2">
      <c r="A106" s="20"/>
    </row>
    <row r="107" spans="1:1" x14ac:dyDescent="0.2">
      <c r="A107" s="20"/>
    </row>
  </sheetData>
  <mergeCells count="9">
    <mergeCell ref="C35:G35"/>
    <mergeCell ref="B64:G64"/>
    <mergeCell ref="B66:G66"/>
    <mergeCell ref="B3:G3"/>
    <mergeCell ref="B4:B5"/>
    <mergeCell ref="C4:C5"/>
    <mergeCell ref="D4:F4"/>
    <mergeCell ref="G4:G5"/>
    <mergeCell ref="C6:G6"/>
  </mergeCells>
  <hyperlinks>
    <hyperlink ref="G68" location="Inhaltsverzeichnis!A1" display="› Zurück zum Inhaltsverzeichnis" xr:uid="{6AA62E13-EEEE-414D-9103-6A5362D8504C}"/>
  </hyperlinks>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F3B68-9193-47BF-94E7-8E9DAB1DF7C4}">
  <dimension ref="A1:H29"/>
  <sheetViews>
    <sheetView zoomScaleNormal="100" workbookViewId="0">
      <pane ySplit="5" topLeftCell="A15" activePane="bottomLeft" state="frozen"/>
      <selection activeCell="B3" sqref="B3:H3"/>
      <selection pane="bottomLeft" activeCell="J9" sqref="J9"/>
    </sheetView>
  </sheetViews>
  <sheetFormatPr baseColWidth="10" defaultColWidth="11.375" defaultRowHeight="11.4" x14ac:dyDescent="0.2"/>
  <cols>
    <col min="1" max="1" width="2.75" customWidth="1"/>
    <col min="2" max="2" width="3.75" customWidth="1"/>
    <col min="3" max="3" width="79.375" customWidth="1"/>
    <col min="4" max="4" width="16.25" customWidth="1"/>
    <col min="5" max="8" width="12.375" customWidth="1"/>
  </cols>
  <sheetData>
    <row r="1" spans="1:8" s="4" customFormat="1" ht="13.8" x14ac:dyDescent="0.2">
      <c r="C1" s="40"/>
      <c r="E1" s="41"/>
    </row>
    <row r="2" spans="1:8" s="203" customFormat="1" ht="20.100000000000001" customHeight="1" x14ac:dyDescent="0.25">
      <c r="A2" s="201"/>
      <c r="B2" s="202" t="s">
        <v>44</v>
      </c>
      <c r="C2" s="202"/>
      <c r="D2" s="202"/>
      <c r="E2" s="202"/>
      <c r="F2" s="202"/>
      <c r="G2" s="202"/>
    </row>
    <row r="3" spans="1:8" s="80" customFormat="1" ht="50.25" customHeight="1" x14ac:dyDescent="0.2">
      <c r="A3" s="65"/>
      <c r="B3" s="381" t="s">
        <v>221</v>
      </c>
      <c r="C3" s="381"/>
      <c r="D3" s="381"/>
      <c r="E3" s="381"/>
      <c r="F3" s="381"/>
      <c r="G3" s="381"/>
      <c r="H3" s="381"/>
    </row>
    <row r="4" spans="1:8" ht="32.1" customHeight="1" x14ac:dyDescent="0.2">
      <c r="A4" s="204"/>
      <c r="B4" s="415" t="s">
        <v>222</v>
      </c>
      <c r="C4" s="416"/>
      <c r="D4" s="416" t="s">
        <v>223</v>
      </c>
      <c r="E4" s="417" t="s">
        <v>224</v>
      </c>
      <c r="F4" s="417"/>
      <c r="G4" s="417"/>
      <c r="H4" s="418"/>
    </row>
    <row r="5" spans="1:8" ht="20.100000000000001" customHeight="1" x14ac:dyDescent="0.2">
      <c r="A5" s="204"/>
      <c r="B5" s="415"/>
      <c r="C5" s="416"/>
      <c r="D5" s="416"/>
      <c r="E5" s="205" t="s">
        <v>225</v>
      </c>
      <c r="F5" s="206" t="s">
        <v>226</v>
      </c>
      <c r="G5" s="207" t="s">
        <v>227</v>
      </c>
      <c r="H5" s="208" t="s">
        <v>228</v>
      </c>
    </row>
    <row r="6" spans="1:8" ht="15" customHeight="1" x14ac:dyDescent="0.2">
      <c r="A6" s="204"/>
      <c r="B6" s="209" t="s">
        <v>229</v>
      </c>
      <c r="C6" s="210" t="s">
        <v>230</v>
      </c>
      <c r="D6" s="211">
        <v>63</v>
      </c>
      <c r="E6" s="211">
        <v>42</v>
      </c>
      <c r="F6" s="211">
        <v>16</v>
      </c>
      <c r="G6" s="211">
        <v>5</v>
      </c>
      <c r="H6" s="211">
        <v>0</v>
      </c>
    </row>
    <row r="7" spans="1:8" ht="15" customHeight="1" x14ac:dyDescent="0.2">
      <c r="A7" s="204"/>
      <c r="B7" s="209" t="s">
        <v>231</v>
      </c>
      <c r="C7" s="210" t="s">
        <v>232</v>
      </c>
      <c r="D7" s="211">
        <v>6387</v>
      </c>
      <c r="E7" s="211">
        <v>4367</v>
      </c>
      <c r="F7" s="211">
        <v>1466</v>
      </c>
      <c r="G7" s="211">
        <v>440</v>
      </c>
      <c r="H7" s="211">
        <v>114</v>
      </c>
    </row>
    <row r="8" spans="1:8" ht="15" customHeight="1" x14ac:dyDescent="0.2">
      <c r="A8" s="204"/>
      <c r="B8" s="209" t="s">
        <v>233</v>
      </c>
      <c r="C8" s="210" t="s">
        <v>234</v>
      </c>
      <c r="D8" s="211">
        <v>4858</v>
      </c>
      <c r="E8" s="211">
        <v>4770</v>
      </c>
      <c r="F8" s="211">
        <v>57</v>
      </c>
      <c r="G8" s="211">
        <v>22</v>
      </c>
      <c r="H8" s="211">
        <v>9</v>
      </c>
    </row>
    <row r="9" spans="1:8" ht="15" customHeight="1" x14ac:dyDescent="0.2">
      <c r="A9" s="204"/>
      <c r="B9" s="209" t="s">
        <v>235</v>
      </c>
      <c r="C9" s="210" t="s">
        <v>236</v>
      </c>
      <c r="D9" s="211">
        <v>424</v>
      </c>
      <c r="E9" s="211">
        <v>264</v>
      </c>
      <c r="F9" s="211">
        <v>113</v>
      </c>
      <c r="G9" s="211">
        <v>39</v>
      </c>
      <c r="H9" s="211">
        <v>8</v>
      </c>
    </row>
    <row r="10" spans="1:8" ht="15" customHeight="1" x14ac:dyDescent="0.2">
      <c r="A10" s="204"/>
      <c r="B10" s="209" t="s">
        <v>237</v>
      </c>
      <c r="C10" s="210" t="s">
        <v>2</v>
      </c>
      <c r="D10" s="211">
        <v>13538</v>
      </c>
      <c r="E10" s="211">
        <v>11439</v>
      </c>
      <c r="F10" s="211">
        <v>1924</v>
      </c>
      <c r="G10" s="211">
        <v>166</v>
      </c>
      <c r="H10" s="211">
        <v>9</v>
      </c>
    </row>
    <row r="11" spans="1:8" ht="15" customHeight="1" x14ac:dyDescent="0.2">
      <c r="B11" s="209" t="s">
        <v>238</v>
      </c>
      <c r="C11" s="210" t="s">
        <v>239</v>
      </c>
      <c r="D11" s="211">
        <v>19738</v>
      </c>
      <c r="E11" s="211">
        <v>16231</v>
      </c>
      <c r="F11" s="211">
        <v>2890</v>
      </c>
      <c r="G11" s="211">
        <v>524</v>
      </c>
      <c r="H11" s="211">
        <v>93</v>
      </c>
    </row>
    <row r="12" spans="1:8" ht="15" customHeight="1" x14ac:dyDescent="0.2">
      <c r="B12" s="209" t="s">
        <v>240</v>
      </c>
      <c r="C12" s="210" t="s">
        <v>241</v>
      </c>
      <c r="D12" s="211">
        <v>3873</v>
      </c>
      <c r="E12" s="211">
        <v>2869</v>
      </c>
      <c r="F12" s="211">
        <v>797</v>
      </c>
      <c r="G12" s="211">
        <v>173</v>
      </c>
      <c r="H12" s="211">
        <v>34</v>
      </c>
    </row>
    <row r="13" spans="1:8" ht="15" customHeight="1" x14ac:dyDescent="0.2">
      <c r="B13" s="209" t="s">
        <v>242</v>
      </c>
      <c r="C13" s="210" t="s">
        <v>243</v>
      </c>
      <c r="D13" s="211">
        <v>10176</v>
      </c>
      <c r="E13" s="211">
        <v>8058</v>
      </c>
      <c r="F13" s="211">
        <v>1908</v>
      </c>
      <c r="G13" s="211">
        <v>203</v>
      </c>
      <c r="H13" s="211">
        <v>7</v>
      </c>
    </row>
    <row r="14" spans="1:8" ht="15" customHeight="1" x14ac:dyDescent="0.2">
      <c r="B14" s="209" t="s">
        <v>244</v>
      </c>
      <c r="C14" s="210" t="s">
        <v>245</v>
      </c>
      <c r="D14" s="211">
        <v>4143</v>
      </c>
      <c r="E14" s="211">
        <v>3709</v>
      </c>
      <c r="F14" s="211">
        <v>327</v>
      </c>
      <c r="G14" s="211">
        <v>90</v>
      </c>
      <c r="H14" s="211">
        <v>17</v>
      </c>
    </row>
    <row r="15" spans="1:8" ht="15" customHeight="1" x14ac:dyDescent="0.2">
      <c r="B15" s="209" t="s">
        <v>246</v>
      </c>
      <c r="C15" s="210" t="s">
        <v>247</v>
      </c>
      <c r="D15" s="211">
        <v>2765</v>
      </c>
      <c r="E15" s="211">
        <v>2635</v>
      </c>
      <c r="F15" s="211">
        <v>85</v>
      </c>
      <c r="G15" s="211">
        <v>25</v>
      </c>
      <c r="H15" s="211">
        <v>20</v>
      </c>
    </row>
    <row r="16" spans="1:8" ht="15" customHeight="1" x14ac:dyDescent="0.2">
      <c r="B16" s="209" t="s">
        <v>248</v>
      </c>
      <c r="C16" s="210" t="s">
        <v>249</v>
      </c>
      <c r="D16" s="211">
        <v>7965</v>
      </c>
      <c r="E16" s="211">
        <v>7694</v>
      </c>
      <c r="F16" s="211">
        <v>244</v>
      </c>
      <c r="G16" s="211">
        <v>24</v>
      </c>
      <c r="H16" s="211">
        <v>3</v>
      </c>
    </row>
    <row r="17" spans="2:8" ht="15" customHeight="1" x14ac:dyDescent="0.2">
      <c r="B17" s="209" t="s">
        <v>250</v>
      </c>
      <c r="C17" s="210" t="s">
        <v>251</v>
      </c>
      <c r="D17" s="211">
        <v>15777</v>
      </c>
      <c r="E17" s="211">
        <v>14489</v>
      </c>
      <c r="F17" s="211">
        <v>1129</v>
      </c>
      <c r="G17" s="211">
        <v>141</v>
      </c>
      <c r="H17" s="211">
        <v>18</v>
      </c>
    </row>
    <row r="18" spans="2:8" ht="15" customHeight="1" x14ac:dyDescent="0.2">
      <c r="B18" s="209" t="s">
        <v>252</v>
      </c>
      <c r="C18" s="210" t="s">
        <v>253</v>
      </c>
      <c r="D18" s="211">
        <v>10303</v>
      </c>
      <c r="E18" s="211">
        <v>8922</v>
      </c>
      <c r="F18" s="211">
        <v>1114</v>
      </c>
      <c r="G18" s="211">
        <v>223</v>
      </c>
      <c r="H18" s="211">
        <v>44</v>
      </c>
    </row>
    <row r="19" spans="2:8" ht="15" customHeight="1" x14ac:dyDescent="0.2">
      <c r="B19" s="209" t="s">
        <v>254</v>
      </c>
      <c r="C19" s="210" t="s">
        <v>255</v>
      </c>
      <c r="D19" s="211">
        <v>2609</v>
      </c>
      <c r="E19" s="211">
        <v>2149</v>
      </c>
      <c r="F19" s="211">
        <v>365</v>
      </c>
      <c r="G19" s="211">
        <v>84</v>
      </c>
      <c r="H19" s="211">
        <v>11</v>
      </c>
    </row>
    <row r="20" spans="2:8" ht="15" customHeight="1" x14ac:dyDescent="0.2">
      <c r="B20" s="209" t="s">
        <v>256</v>
      </c>
      <c r="C20" s="210" t="s">
        <v>257</v>
      </c>
      <c r="D20" s="211">
        <v>9133</v>
      </c>
      <c r="E20" s="211">
        <v>6476</v>
      </c>
      <c r="F20" s="211">
        <v>2092</v>
      </c>
      <c r="G20" s="211">
        <v>450</v>
      </c>
      <c r="H20" s="211">
        <v>115</v>
      </c>
    </row>
    <row r="21" spans="2:8" ht="15" customHeight="1" x14ac:dyDescent="0.2">
      <c r="B21" s="209" t="s">
        <v>258</v>
      </c>
      <c r="C21" s="210" t="s">
        <v>259</v>
      </c>
      <c r="D21" s="211">
        <v>3459</v>
      </c>
      <c r="E21" s="211">
        <v>3001</v>
      </c>
      <c r="F21" s="211">
        <v>399</v>
      </c>
      <c r="G21" s="211">
        <v>54</v>
      </c>
      <c r="H21" s="211">
        <v>5</v>
      </c>
    </row>
    <row r="22" spans="2:8" ht="15" customHeight="1" x14ac:dyDescent="0.2">
      <c r="B22" s="209" t="s">
        <v>260</v>
      </c>
      <c r="C22" s="210" t="s">
        <v>261</v>
      </c>
      <c r="D22" s="211">
        <v>8571</v>
      </c>
      <c r="E22" s="211">
        <v>7932</v>
      </c>
      <c r="F22" s="211">
        <v>532</v>
      </c>
      <c r="G22" s="211">
        <v>83</v>
      </c>
      <c r="H22" s="211">
        <v>24</v>
      </c>
    </row>
    <row r="23" spans="2:8" ht="15" customHeight="1" x14ac:dyDescent="0.25">
      <c r="B23" s="212"/>
      <c r="C23" s="213" t="s">
        <v>262</v>
      </c>
      <c r="D23" s="214">
        <v>123782</v>
      </c>
      <c r="E23" s="214">
        <v>105047</v>
      </c>
      <c r="F23" s="214">
        <v>15458</v>
      </c>
      <c r="G23" s="214">
        <v>2746</v>
      </c>
      <c r="H23" s="214">
        <v>531</v>
      </c>
    </row>
    <row r="24" spans="2:8" ht="12" x14ac:dyDescent="0.25">
      <c r="B24" s="215"/>
      <c r="C24" s="216"/>
      <c r="D24" s="217"/>
      <c r="E24" s="217"/>
      <c r="F24" s="217"/>
      <c r="G24" s="217"/>
      <c r="H24" s="217"/>
    </row>
    <row r="25" spans="2:8" x14ac:dyDescent="0.2">
      <c r="B25" s="419" t="s">
        <v>263</v>
      </c>
      <c r="C25" s="419"/>
      <c r="D25" s="419"/>
      <c r="E25" s="419"/>
      <c r="F25" s="419"/>
      <c r="G25" s="419"/>
      <c r="H25" s="419"/>
    </row>
    <row r="26" spans="2:8" ht="11.4" customHeight="1" x14ac:dyDescent="0.2">
      <c r="B26" s="414" t="s">
        <v>264</v>
      </c>
      <c r="C26" s="414"/>
      <c r="D26" s="414"/>
      <c r="E26" s="414"/>
      <c r="F26" s="414"/>
      <c r="G26" s="414"/>
      <c r="H26" s="414"/>
    </row>
    <row r="27" spans="2:8" ht="12.6" customHeight="1" x14ac:dyDescent="0.2">
      <c r="B27" s="414"/>
      <c r="C27" s="414"/>
      <c r="D27" s="414"/>
      <c r="E27" s="414"/>
      <c r="F27" s="414"/>
      <c r="G27" s="414"/>
      <c r="H27" s="414"/>
    </row>
    <row r="29" spans="2:8" x14ac:dyDescent="0.2">
      <c r="B29" s="218"/>
      <c r="C29" s="218"/>
      <c r="H29" s="116" t="s">
        <v>178</v>
      </c>
    </row>
  </sheetData>
  <mergeCells count="6">
    <mergeCell ref="B26:H27"/>
    <mergeCell ref="B3:H3"/>
    <mergeCell ref="B4:C5"/>
    <mergeCell ref="D4:D5"/>
    <mergeCell ref="E4:H4"/>
    <mergeCell ref="B25:H25"/>
  </mergeCells>
  <hyperlinks>
    <hyperlink ref="H29" location="Inhaltsverzeichnis!A1" display="› Zurück zum Inhaltsverzeichnis" xr:uid="{B6C2017A-F9DD-4D83-BDAC-5AAE4B6B9305}"/>
  </hyperlinks>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7258D-10C5-4740-B3C4-950DD0839898}">
  <dimension ref="A1:H30"/>
  <sheetViews>
    <sheetView zoomScaleNormal="100" workbookViewId="0">
      <pane ySplit="5" topLeftCell="A15" activePane="bottomLeft" state="frozen"/>
      <selection activeCell="B3" sqref="B3:H3"/>
      <selection pane="bottomLeft"/>
    </sheetView>
  </sheetViews>
  <sheetFormatPr baseColWidth="10" defaultColWidth="11.375" defaultRowHeight="11.4" x14ac:dyDescent="0.2"/>
  <cols>
    <col min="1" max="1" width="2.75" customWidth="1"/>
    <col min="2" max="2" width="3.75" customWidth="1"/>
    <col min="3" max="3" width="79.375" customWidth="1"/>
    <col min="4" max="4" width="16.25" customWidth="1"/>
    <col min="5" max="8" width="12.375" customWidth="1"/>
  </cols>
  <sheetData>
    <row r="1" spans="1:8" s="4" customFormat="1" ht="13.8" x14ac:dyDescent="0.2">
      <c r="C1" s="40"/>
      <c r="E1" s="41"/>
    </row>
    <row r="2" spans="1:8" s="203" customFormat="1" ht="20.100000000000001" customHeight="1" x14ac:dyDescent="0.25">
      <c r="A2" s="201"/>
      <c r="B2" s="202" t="s">
        <v>44</v>
      </c>
      <c r="C2" s="202"/>
      <c r="D2" s="202"/>
      <c r="E2" s="202"/>
      <c r="F2" s="202"/>
      <c r="G2" s="202"/>
    </row>
    <row r="3" spans="1:8" s="80" customFormat="1" ht="50.25" customHeight="1" x14ac:dyDescent="0.2">
      <c r="A3" s="65"/>
      <c r="B3" s="381" t="s">
        <v>265</v>
      </c>
      <c r="C3" s="381"/>
      <c r="D3" s="381"/>
      <c r="E3" s="381"/>
      <c r="F3" s="381"/>
      <c r="G3" s="381"/>
      <c r="H3" s="381"/>
    </row>
    <row r="4" spans="1:8" ht="32.1" customHeight="1" x14ac:dyDescent="0.2">
      <c r="A4" s="204"/>
      <c r="B4" s="415" t="s">
        <v>266</v>
      </c>
      <c r="C4" s="416"/>
      <c r="D4" s="416" t="s">
        <v>267</v>
      </c>
      <c r="E4" s="417" t="s">
        <v>224</v>
      </c>
      <c r="F4" s="417"/>
      <c r="G4" s="417"/>
      <c r="H4" s="418"/>
    </row>
    <row r="5" spans="1:8" ht="20.100000000000001" customHeight="1" x14ac:dyDescent="0.2">
      <c r="A5" s="204"/>
      <c r="B5" s="415"/>
      <c r="C5" s="416"/>
      <c r="D5" s="416"/>
      <c r="E5" s="205" t="s">
        <v>225</v>
      </c>
      <c r="F5" s="206" t="s">
        <v>226</v>
      </c>
      <c r="G5" s="207" t="s">
        <v>227</v>
      </c>
      <c r="H5" s="208" t="s">
        <v>228</v>
      </c>
    </row>
    <row r="6" spans="1:8" ht="15" customHeight="1" x14ac:dyDescent="0.2">
      <c r="A6" s="204"/>
      <c r="B6" s="209" t="s">
        <v>229</v>
      </c>
      <c r="C6" s="210" t="s">
        <v>230</v>
      </c>
      <c r="D6" s="211">
        <v>67</v>
      </c>
      <c r="E6" s="211">
        <v>44</v>
      </c>
      <c r="F6" s="211">
        <v>18</v>
      </c>
      <c r="G6" s="211">
        <v>5</v>
      </c>
      <c r="H6" s="211">
        <v>0</v>
      </c>
    </row>
    <row r="7" spans="1:8" ht="15" customHeight="1" x14ac:dyDescent="0.2">
      <c r="A7" s="204"/>
      <c r="B7" s="209" t="s">
        <v>231</v>
      </c>
      <c r="C7" s="210" t="s">
        <v>232</v>
      </c>
      <c r="D7" s="211">
        <v>6760</v>
      </c>
      <c r="E7" s="211">
        <v>4591</v>
      </c>
      <c r="F7" s="211">
        <v>1566</v>
      </c>
      <c r="G7" s="211">
        <v>487</v>
      </c>
      <c r="H7" s="211">
        <v>116</v>
      </c>
    </row>
    <row r="8" spans="1:8" ht="15" customHeight="1" x14ac:dyDescent="0.2">
      <c r="A8" s="204"/>
      <c r="B8" s="209" t="s">
        <v>233</v>
      </c>
      <c r="C8" s="210" t="s">
        <v>234</v>
      </c>
      <c r="D8" s="211">
        <v>4933</v>
      </c>
      <c r="E8" s="211">
        <v>4817</v>
      </c>
      <c r="F8" s="211">
        <v>78</v>
      </c>
      <c r="G8" s="211">
        <v>29</v>
      </c>
      <c r="H8" s="211">
        <v>9</v>
      </c>
    </row>
    <row r="9" spans="1:8" ht="15" customHeight="1" x14ac:dyDescent="0.2">
      <c r="A9" s="204"/>
      <c r="B9" s="209" t="s">
        <v>235</v>
      </c>
      <c r="C9" s="210" t="s">
        <v>236</v>
      </c>
      <c r="D9" s="211">
        <v>509</v>
      </c>
      <c r="E9" s="211">
        <v>315</v>
      </c>
      <c r="F9" s="211">
        <v>144</v>
      </c>
      <c r="G9" s="211">
        <v>44</v>
      </c>
      <c r="H9" s="211">
        <v>6</v>
      </c>
    </row>
    <row r="10" spans="1:8" ht="15" customHeight="1" x14ac:dyDescent="0.2">
      <c r="A10" s="204"/>
      <c r="B10" s="209" t="s">
        <v>237</v>
      </c>
      <c r="C10" s="210" t="s">
        <v>2</v>
      </c>
      <c r="D10" s="211">
        <v>13844</v>
      </c>
      <c r="E10" s="211">
        <v>11713</v>
      </c>
      <c r="F10" s="211">
        <v>1950</v>
      </c>
      <c r="G10" s="211">
        <v>176</v>
      </c>
      <c r="H10" s="211">
        <v>5</v>
      </c>
    </row>
    <row r="11" spans="1:8" ht="15" customHeight="1" x14ac:dyDescent="0.2">
      <c r="B11" s="209" t="s">
        <v>238</v>
      </c>
      <c r="C11" s="210" t="s">
        <v>239</v>
      </c>
      <c r="D11" s="211">
        <v>23915</v>
      </c>
      <c r="E11" s="211">
        <v>18698</v>
      </c>
      <c r="F11" s="211">
        <v>4431</v>
      </c>
      <c r="G11" s="211">
        <v>738</v>
      </c>
      <c r="H11" s="211">
        <v>48</v>
      </c>
    </row>
    <row r="12" spans="1:8" ht="15" customHeight="1" x14ac:dyDescent="0.2">
      <c r="B12" s="209" t="s">
        <v>240</v>
      </c>
      <c r="C12" s="210" t="s">
        <v>241</v>
      </c>
      <c r="D12" s="211">
        <v>4420</v>
      </c>
      <c r="E12" s="211">
        <v>3142</v>
      </c>
      <c r="F12" s="211">
        <v>982</v>
      </c>
      <c r="G12" s="211">
        <v>252</v>
      </c>
      <c r="H12" s="211">
        <v>44</v>
      </c>
    </row>
    <row r="13" spans="1:8" ht="15" customHeight="1" x14ac:dyDescent="0.2">
      <c r="B13" s="209" t="s">
        <v>242</v>
      </c>
      <c r="C13" s="210" t="s">
        <v>243</v>
      </c>
      <c r="D13" s="211">
        <v>10963</v>
      </c>
      <c r="E13" s="211">
        <v>8562</v>
      </c>
      <c r="F13" s="211">
        <v>2170</v>
      </c>
      <c r="G13" s="211">
        <v>226</v>
      </c>
      <c r="H13" s="211">
        <v>5</v>
      </c>
    </row>
    <row r="14" spans="1:8" ht="15" customHeight="1" x14ac:dyDescent="0.2">
      <c r="B14" s="209" t="s">
        <v>244</v>
      </c>
      <c r="C14" s="210" t="s">
        <v>245</v>
      </c>
      <c r="D14" s="211">
        <v>4454</v>
      </c>
      <c r="E14" s="211">
        <v>3948</v>
      </c>
      <c r="F14" s="211">
        <v>400</v>
      </c>
      <c r="G14" s="211">
        <v>90</v>
      </c>
      <c r="H14" s="211">
        <v>16</v>
      </c>
    </row>
    <row r="15" spans="1:8" ht="15" customHeight="1" x14ac:dyDescent="0.2">
      <c r="B15" s="209" t="s">
        <v>246</v>
      </c>
      <c r="C15" s="210" t="s">
        <v>247</v>
      </c>
      <c r="D15" s="211">
        <v>3288</v>
      </c>
      <c r="E15" s="211">
        <v>2997</v>
      </c>
      <c r="F15" s="211">
        <v>220</v>
      </c>
      <c r="G15" s="211">
        <v>56</v>
      </c>
      <c r="H15" s="211">
        <v>15</v>
      </c>
    </row>
    <row r="16" spans="1:8" ht="15" customHeight="1" x14ac:dyDescent="0.2">
      <c r="B16" s="209" t="s">
        <v>248</v>
      </c>
      <c r="C16" s="210" t="s">
        <v>249</v>
      </c>
      <c r="D16" s="211">
        <v>8197</v>
      </c>
      <c r="E16" s="211">
        <v>7910</v>
      </c>
      <c r="F16" s="211">
        <v>258</v>
      </c>
      <c r="G16" s="211">
        <v>26</v>
      </c>
      <c r="H16" s="211">
        <v>3</v>
      </c>
    </row>
    <row r="17" spans="2:8" ht="15" customHeight="1" x14ac:dyDescent="0.2">
      <c r="B17" s="209" t="s">
        <v>250</v>
      </c>
      <c r="C17" s="210" t="s">
        <v>251</v>
      </c>
      <c r="D17" s="211">
        <v>16336</v>
      </c>
      <c r="E17" s="211">
        <v>14867</v>
      </c>
      <c r="F17" s="211">
        <v>1288</v>
      </c>
      <c r="G17" s="211">
        <v>163</v>
      </c>
      <c r="H17" s="211">
        <v>18</v>
      </c>
    </row>
    <row r="18" spans="2:8" ht="15" customHeight="1" x14ac:dyDescent="0.2">
      <c r="B18" s="209" t="s">
        <v>252</v>
      </c>
      <c r="C18" s="210" t="s">
        <v>253</v>
      </c>
      <c r="D18" s="211">
        <v>10970</v>
      </c>
      <c r="E18" s="211">
        <v>9353</v>
      </c>
      <c r="F18" s="211">
        <v>1264</v>
      </c>
      <c r="G18" s="211">
        <v>308</v>
      </c>
      <c r="H18" s="211">
        <v>45</v>
      </c>
    </row>
    <row r="19" spans="2:8" ht="15" customHeight="1" x14ac:dyDescent="0.2">
      <c r="B19" s="209" t="s">
        <v>254</v>
      </c>
      <c r="C19" s="210" t="s">
        <v>255</v>
      </c>
      <c r="D19" s="211">
        <v>3760</v>
      </c>
      <c r="E19" s="211">
        <v>2708</v>
      </c>
      <c r="F19" s="211">
        <v>879</v>
      </c>
      <c r="G19" s="211">
        <v>157</v>
      </c>
      <c r="H19" s="211">
        <v>16</v>
      </c>
    </row>
    <row r="20" spans="2:8" ht="15" customHeight="1" x14ac:dyDescent="0.2">
      <c r="B20" s="209" t="s">
        <v>256</v>
      </c>
      <c r="C20" s="210" t="s">
        <v>257</v>
      </c>
      <c r="D20" s="211">
        <v>10161</v>
      </c>
      <c r="E20" s="211">
        <v>6932</v>
      </c>
      <c r="F20" s="211">
        <v>2429</v>
      </c>
      <c r="G20" s="211">
        <v>679</v>
      </c>
      <c r="H20" s="211">
        <v>121</v>
      </c>
    </row>
    <row r="21" spans="2:8" ht="15" customHeight="1" x14ac:dyDescent="0.2">
      <c r="B21" s="209" t="s">
        <v>258</v>
      </c>
      <c r="C21" s="210" t="s">
        <v>259</v>
      </c>
      <c r="D21" s="211">
        <v>3685</v>
      </c>
      <c r="E21" s="211">
        <v>3174</v>
      </c>
      <c r="F21" s="211">
        <v>454</v>
      </c>
      <c r="G21" s="211">
        <v>53</v>
      </c>
      <c r="H21" s="211">
        <v>4</v>
      </c>
    </row>
    <row r="22" spans="2:8" ht="15" customHeight="1" x14ac:dyDescent="0.2">
      <c r="B22" s="209" t="s">
        <v>260</v>
      </c>
      <c r="C22" s="210" t="s">
        <v>261</v>
      </c>
      <c r="D22" s="211">
        <v>9086</v>
      </c>
      <c r="E22" s="211">
        <v>8422</v>
      </c>
      <c r="F22" s="211">
        <v>566</v>
      </c>
      <c r="G22" s="211">
        <v>86</v>
      </c>
      <c r="H22" s="211">
        <v>12</v>
      </c>
    </row>
    <row r="23" spans="2:8" ht="15" customHeight="1" x14ac:dyDescent="0.25">
      <c r="B23" s="212"/>
      <c r="C23" s="213" t="s">
        <v>262</v>
      </c>
      <c r="D23" s="214">
        <v>135348</v>
      </c>
      <c r="E23" s="214">
        <v>112193</v>
      </c>
      <c r="F23" s="214">
        <v>19097</v>
      </c>
      <c r="G23" s="214">
        <v>3575</v>
      </c>
      <c r="H23" s="214">
        <v>483</v>
      </c>
    </row>
    <row r="24" spans="2:8" ht="12" x14ac:dyDescent="0.25">
      <c r="B24" s="219"/>
      <c r="C24" s="220"/>
      <c r="D24" s="221"/>
      <c r="E24" s="221"/>
      <c r="F24" s="221"/>
      <c r="G24" s="221"/>
      <c r="H24" s="221"/>
    </row>
    <row r="25" spans="2:8" x14ac:dyDescent="0.2">
      <c r="B25" s="400" t="s">
        <v>268</v>
      </c>
      <c r="C25" s="400"/>
      <c r="D25" s="400"/>
      <c r="E25" s="400"/>
      <c r="F25" s="400"/>
      <c r="G25" s="400"/>
      <c r="H25" s="400"/>
    </row>
    <row r="26" spans="2:8" ht="11.4" customHeight="1" x14ac:dyDescent="0.2">
      <c r="B26" s="420" t="s">
        <v>269</v>
      </c>
      <c r="C26" s="420"/>
      <c r="D26" s="420"/>
      <c r="E26" s="420"/>
      <c r="F26" s="420"/>
      <c r="G26" s="420"/>
      <c r="H26" s="420"/>
    </row>
    <row r="27" spans="2:8" ht="12.6" customHeight="1" x14ac:dyDescent="0.2">
      <c r="B27" s="420"/>
      <c r="C27" s="420"/>
      <c r="D27" s="420"/>
      <c r="E27" s="420"/>
      <c r="F27" s="420"/>
      <c r="G27" s="420"/>
      <c r="H27" s="420"/>
    </row>
    <row r="29" spans="2:8" x14ac:dyDescent="0.2">
      <c r="H29" s="116" t="s">
        <v>178</v>
      </c>
    </row>
    <row r="30" spans="2:8" x14ac:dyDescent="0.2">
      <c r="B30" s="414"/>
      <c r="C30" s="414"/>
    </row>
  </sheetData>
  <mergeCells count="7">
    <mergeCell ref="B30:C30"/>
    <mergeCell ref="B3:H3"/>
    <mergeCell ref="B4:C5"/>
    <mergeCell ref="D4:D5"/>
    <mergeCell ref="E4:H4"/>
    <mergeCell ref="B25:H25"/>
    <mergeCell ref="B26:H27"/>
  </mergeCells>
  <hyperlinks>
    <hyperlink ref="H29" location="Inhaltsverzeichnis!A1" display="› Zurück zum Inhaltsverzeichnis" xr:uid="{5164FFA0-E824-454D-BB49-98E7DBB8AAD8}"/>
  </hyperlinks>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34889-FCA8-44C4-B226-D36FF2093EB1}">
  <dimension ref="A1:CU104"/>
  <sheetViews>
    <sheetView zoomScaleNormal="100" workbookViewId="0">
      <pane ySplit="5" topLeftCell="A74" activePane="bottomLeft" state="frozen"/>
      <selection activeCell="B3" sqref="B3:H3"/>
      <selection pane="bottomLeft" activeCell="C72" sqref="C72:I73"/>
    </sheetView>
  </sheetViews>
  <sheetFormatPr baseColWidth="10" defaultColWidth="11.375" defaultRowHeight="11.4" x14ac:dyDescent="0.2"/>
  <cols>
    <col min="1" max="2" width="2.75" customWidth="1"/>
    <col min="3" max="3" width="81" bestFit="1" customWidth="1"/>
    <col min="4" max="4" width="17.625" customWidth="1"/>
    <col min="5" max="5" width="12.75" customWidth="1"/>
    <col min="6" max="6" width="14.875" customWidth="1"/>
    <col min="7" max="7" width="12.75" customWidth="1"/>
  </cols>
  <sheetData>
    <row r="1" spans="1:7" s="4" customFormat="1" ht="13.8" x14ac:dyDescent="0.2">
      <c r="E1" s="40"/>
      <c r="G1" s="41"/>
    </row>
    <row r="2" spans="1:7" s="203" customFormat="1" ht="20.100000000000001" customHeight="1" x14ac:dyDescent="0.25">
      <c r="A2" s="201"/>
      <c r="B2" s="201"/>
      <c r="C2" s="202" t="s">
        <v>44</v>
      </c>
      <c r="D2" s="202"/>
      <c r="E2" s="202"/>
      <c r="F2" s="202"/>
      <c r="G2" s="202"/>
    </row>
    <row r="3" spans="1:7" s="80" customFormat="1" ht="50.25" customHeight="1" x14ac:dyDescent="0.2">
      <c r="A3" s="65"/>
      <c r="B3" s="65"/>
      <c r="C3" s="381" t="s">
        <v>270</v>
      </c>
      <c r="D3" s="381"/>
      <c r="E3" s="381"/>
      <c r="F3" s="381"/>
      <c r="G3" s="381"/>
    </row>
    <row r="4" spans="1:7" s="222" customFormat="1" ht="22.5" customHeight="1" x14ac:dyDescent="0.2">
      <c r="A4" s="204"/>
      <c r="B4" s="204"/>
      <c r="C4" s="422" t="s">
        <v>271</v>
      </c>
      <c r="D4" s="424" t="s">
        <v>272</v>
      </c>
      <c r="E4" s="416" t="s">
        <v>273</v>
      </c>
      <c r="F4" s="416"/>
      <c r="G4" s="426"/>
    </row>
    <row r="5" spans="1:7" s="222" customFormat="1" ht="35.25" customHeight="1" x14ac:dyDescent="0.2">
      <c r="A5" s="204"/>
      <c r="B5" s="204"/>
      <c r="C5" s="423"/>
      <c r="D5" s="425"/>
      <c r="E5" s="362" t="s">
        <v>274</v>
      </c>
      <c r="F5" s="224" t="s">
        <v>275</v>
      </c>
      <c r="G5" s="374" t="s">
        <v>276</v>
      </c>
    </row>
    <row r="6" spans="1:7" s="229" customFormat="1" ht="15" customHeight="1" x14ac:dyDescent="0.25">
      <c r="A6" s="225"/>
      <c r="B6" s="225"/>
      <c r="C6" s="226" t="s">
        <v>15</v>
      </c>
      <c r="D6" s="227">
        <v>113148</v>
      </c>
      <c r="E6" s="228">
        <v>42520</v>
      </c>
      <c r="F6" s="228">
        <v>56206</v>
      </c>
      <c r="G6" s="228">
        <v>14422</v>
      </c>
    </row>
    <row r="7" spans="1:7" ht="15" customHeight="1" x14ac:dyDescent="0.2">
      <c r="A7" s="204"/>
      <c r="B7" s="204"/>
      <c r="C7" s="210" t="s">
        <v>277</v>
      </c>
      <c r="D7" s="211">
        <v>9497</v>
      </c>
      <c r="E7" s="230">
        <v>6658</v>
      </c>
      <c r="F7" s="230">
        <v>2758</v>
      </c>
      <c r="G7" s="230">
        <v>81</v>
      </c>
    </row>
    <row r="8" spans="1:7" ht="15" customHeight="1" x14ac:dyDescent="0.2">
      <c r="A8" s="204"/>
      <c r="B8" s="204"/>
      <c r="C8" s="210" t="s">
        <v>278</v>
      </c>
      <c r="D8" s="211">
        <v>10100</v>
      </c>
      <c r="E8" s="230">
        <v>6400</v>
      </c>
      <c r="F8" s="230">
        <v>3622</v>
      </c>
      <c r="G8" s="230">
        <v>78</v>
      </c>
    </row>
    <row r="9" spans="1:7" ht="15" customHeight="1" x14ac:dyDescent="0.2">
      <c r="A9" s="204"/>
      <c r="B9" s="209"/>
      <c r="C9" s="210" t="s">
        <v>279</v>
      </c>
      <c r="D9" s="211">
        <v>4560</v>
      </c>
      <c r="E9" s="230">
        <v>2337</v>
      </c>
      <c r="F9" s="230">
        <v>2154</v>
      </c>
      <c r="G9" s="230">
        <v>69</v>
      </c>
    </row>
    <row r="10" spans="1:7" s="229" customFormat="1" ht="15" customHeight="1" x14ac:dyDescent="0.25">
      <c r="A10" s="225"/>
      <c r="B10" s="231"/>
      <c r="C10" s="226" t="s">
        <v>280</v>
      </c>
      <c r="D10" s="227">
        <v>3073</v>
      </c>
      <c r="E10" s="228">
        <v>1038</v>
      </c>
      <c r="F10" s="228">
        <v>1495</v>
      </c>
      <c r="G10" s="228">
        <v>540</v>
      </c>
    </row>
    <row r="11" spans="1:7" ht="15" customHeight="1" x14ac:dyDescent="0.2">
      <c r="A11" s="204"/>
      <c r="B11" s="209"/>
      <c r="C11" s="210" t="s">
        <v>277</v>
      </c>
      <c r="D11" s="211">
        <v>300</v>
      </c>
      <c r="E11" s="230">
        <v>206</v>
      </c>
      <c r="F11" s="230">
        <v>87</v>
      </c>
      <c r="G11" s="230">
        <v>7</v>
      </c>
    </row>
    <row r="12" spans="1:7" ht="15" customHeight="1" x14ac:dyDescent="0.2">
      <c r="A12" s="204"/>
      <c r="B12" s="209"/>
      <c r="C12" s="210" t="s">
        <v>278</v>
      </c>
      <c r="D12" s="211">
        <v>300</v>
      </c>
      <c r="E12" s="230">
        <v>179</v>
      </c>
      <c r="F12" s="230">
        <v>116</v>
      </c>
      <c r="G12" s="230">
        <v>5</v>
      </c>
    </row>
    <row r="13" spans="1:7" ht="15" customHeight="1" x14ac:dyDescent="0.2">
      <c r="A13" s="204"/>
      <c r="B13" s="209"/>
      <c r="C13" s="210" t="s">
        <v>279</v>
      </c>
      <c r="D13" s="211">
        <v>129</v>
      </c>
      <c r="E13" s="230">
        <v>60</v>
      </c>
      <c r="F13" s="230">
        <v>66</v>
      </c>
      <c r="G13" s="230">
        <v>3</v>
      </c>
    </row>
    <row r="14" spans="1:7" s="229" customFormat="1" ht="15" customHeight="1" x14ac:dyDescent="0.25">
      <c r="A14" s="225"/>
      <c r="B14" s="231"/>
      <c r="C14" s="226" t="s">
        <v>281</v>
      </c>
      <c r="D14" s="227">
        <v>7637</v>
      </c>
      <c r="E14" s="228">
        <v>2448</v>
      </c>
      <c r="F14" s="228">
        <v>3947</v>
      </c>
      <c r="G14" s="228">
        <v>1242</v>
      </c>
    </row>
    <row r="15" spans="1:7" ht="15" customHeight="1" x14ac:dyDescent="0.2">
      <c r="A15" s="204"/>
      <c r="B15" s="209"/>
      <c r="C15" s="210" t="s">
        <v>277</v>
      </c>
      <c r="D15" s="211">
        <v>738</v>
      </c>
      <c r="E15" s="230">
        <v>490</v>
      </c>
      <c r="F15" s="230">
        <v>237</v>
      </c>
      <c r="G15" s="230">
        <v>11</v>
      </c>
    </row>
    <row r="16" spans="1:7" ht="15" customHeight="1" x14ac:dyDescent="0.2">
      <c r="A16" s="204"/>
      <c r="B16" s="209"/>
      <c r="C16" s="210" t="s">
        <v>278</v>
      </c>
      <c r="D16" s="211">
        <v>691</v>
      </c>
      <c r="E16" s="230">
        <v>383</v>
      </c>
      <c r="F16" s="230">
        <v>297</v>
      </c>
      <c r="G16" s="230">
        <v>11</v>
      </c>
    </row>
    <row r="17" spans="1:10" ht="15" customHeight="1" x14ac:dyDescent="0.2">
      <c r="A17" s="204"/>
      <c r="B17" s="209"/>
      <c r="C17" s="210" t="s">
        <v>279</v>
      </c>
      <c r="D17" s="211">
        <v>359</v>
      </c>
      <c r="E17" s="230">
        <v>168</v>
      </c>
      <c r="F17" s="230">
        <v>188</v>
      </c>
      <c r="G17" s="230">
        <v>3</v>
      </c>
    </row>
    <row r="18" spans="1:10" s="229" customFormat="1" ht="15" customHeight="1" x14ac:dyDescent="0.25">
      <c r="A18" s="225"/>
      <c r="B18" s="231"/>
      <c r="C18" s="226" t="s">
        <v>282</v>
      </c>
      <c r="D18" s="227">
        <v>7374</v>
      </c>
      <c r="E18" s="228">
        <v>2385</v>
      </c>
      <c r="F18" s="228">
        <v>3947</v>
      </c>
      <c r="G18" s="228">
        <v>1042</v>
      </c>
    </row>
    <row r="19" spans="1:10" ht="15" customHeight="1" x14ac:dyDescent="0.2">
      <c r="A19" s="204"/>
      <c r="B19" s="209"/>
      <c r="C19" s="210" t="s">
        <v>277</v>
      </c>
      <c r="D19" s="211">
        <v>640</v>
      </c>
      <c r="E19" s="230">
        <v>416</v>
      </c>
      <c r="F19" s="230">
        <v>216</v>
      </c>
      <c r="G19" s="230">
        <v>8</v>
      </c>
    </row>
    <row r="20" spans="1:10" ht="15" customHeight="1" x14ac:dyDescent="0.2">
      <c r="A20" s="204"/>
      <c r="B20" s="209"/>
      <c r="C20" s="210" t="s">
        <v>278</v>
      </c>
      <c r="D20" s="211">
        <v>620</v>
      </c>
      <c r="E20" s="230">
        <v>378</v>
      </c>
      <c r="F20" s="230">
        <v>237</v>
      </c>
      <c r="G20" s="230">
        <v>5</v>
      </c>
    </row>
    <row r="21" spans="1:10" ht="15" customHeight="1" x14ac:dyDescent="0.2">
      <c r="A21" s="204"/>
      <c r="B21" s="209"/>
      <c r="C21" s="210" t="s">
        <v>279</v>
      </c>
      <c r="D21" s="211">
        <v>292</v>
      </c>
      <c r="E21" s="230">
        <v>134</v>
      </c>
      <c r="F21" s="230">
        <v>155</v>
      </c>
      <c r="G21" s="230">
        <v>3</v>
      </c>
    </row>
    <row r="22" spans="1:10" s="229" customFormat="1" ht="15" customHeight="1" x14ac:dyDescent="0.25">
      <c r="A22" s="225"/>
      <c r="B22" s="231"/>
      <c r="C22" s="226" t="s">
        <v>283</v>
      </c>
      <c r="D22" s="227">
        <v>2603</v>
      </c>
      <c r="E22" s="228">
        <v>779</v>
      </c>
      <c r="F22" s="228">
        <v>1381</v>
      </c>
      <c r="G22" s="228">
        <v>443</v>
      </c>
      <c r="J22" s="232"/>
    </row>
    <row r="23" spans="1:10" ht="15" customHeight="1" x14ac:dyDescent="0.2">
      <c r="A23" s="204"/>
      <c r="B23" s="209"/>
      <c r="C23" s="210" t="s">
        <v>277</v>
      </c>
      <c r="D23" s="211">
        <v>201</v>
      </c>
      <c r="E23" s="230">
        <v>130</v>
      </c>
      <c r="F23" s="230">
        <v>70</v>
      </c>
      <c r="G23" s="230">
        <v>1</v>
      </c>
      <c r="J23" s="233"/>
    </row>
    <row r="24" spans="1:10" ht="15" customHeight="1" x14ac:dyDescent="0.2">
      <c r="A24" s="204"/>
      <c r="B24" s="209"/>
      <c r="C24" s="210" t="s">
        <v>278</v>
      </c>
      <c r="D24" s="211">
        <v>256</v>
      </c>
      <c r="E24" s="230">
        <v>138</v>
      </c>
      <c r="F24" s="230">
        <v>115</v>
      </c>
      <c r="G24" s="230">
        <v>3</v>
      </c>
      <c r="J24" s="233"/>
    </row>
    <row r="25" spans="1:10" ht="15" customHeight="1" x14ac:dyDescent="0.2">
      <c r="A25" s="204"/>
      <c r="B25" s="209"/>
      <c r="C25" s="210" t="s">
        <v>279</v>
      </c>
      <c r="D25" s="211">
        <v>100</v>
      </c>
      <c r="E25" s="230">
        <v>46</v>
      </c>
      <c r="F25" s="230">
        <v>51</v>
      </c>
      <c r="G25" s="230">
        <v>3</v>
      </c>
      <c r="J25" s="233"/>
    </row>
    <row r="26" spans="1:10" s="229" customFormat="1" ht="15" customHeight="1" x14ac:dyDescent="0.25">
      <c r="A26" s="225"/>
      <c r="B26" s="231"/>
      <c r="C26" s="226" t="s">
        <v>284</v>
      </c>
      <c r="D26" s="227">
        <v>5348</v>
      </c>
      <c r="E26" s="228">
        <v>2238</v>
      </c>
      <c r="F26" s="228">
        <v>2456</v>
      </c>
      <c r="G26" s="228">
        <v>654</v>
      </c>
      <c r="J26" s="232"/>
    </row>
    <row r="27" spans="1:10" ht="15" customHeight="1" x14ac:dyDescent="0.2">
      <c r="A27" s="204"/>
      <c r="B27" s="209"/>
      <c r="C27" s="210" t="s">
        <v>277</v>
      </c>
      <c r="D27" s="211">
        <v>461</v>
      </c>
      <c r="E27" s="230">
        <v>346</v>
      </c>
      <c r="F27" s="230">
        <v>111</v>
      </c>
      <c r="G27" s="230">
        <v>4</v>
      </c>
      <c r="J27" s="233"/>
    </row>
    <row r="28" spans="1:10" ht="15" customHeight="1" x14ac:dyDescent="0.2">
      <c r="A28" s="204"/>
      <c r="B28" s="209"/>
      <c r="C28" s="210" t="s">
        <v>278</v>
      </c>
      <c r="D28" s="211">
        <v>433</v>
      </c>
      <c r="E28" s="230">
        <v>272</v>
      </c>
      <c r="F28" s="230">
        <v>160</v>
      </c>
      <c r="G28" s="230">
        <v>1</v>
      </c>
      <c r="J28" s="233"/>
    </row>
    <row r="29" spans="1:10" ht="15" customHeight="1" x14ac:dyDescent="0.2">
      <c r="A29" s="204"/>
      <c r="B29" s="209"/>
      <c r="C29" s="210" t="s">
        <v>279</v>
      </c>
      <c r="D29" s="211">
        <v>195</v>
      </c>
      <c r="E29" s="230">
        <v>95</v>
      </c>
      <c r="F29" s="230">
        <v>97</v>
      </c>
      <c r="G29" s="230">
        <v>3</v>
      </c>
      <c r="J29" s="233"/>
    </row>
    <row r="30" spans="1:10" s="229" customFormat="1" ht="15" customHeight="1" x14ac:dyDescent="0.25">
      <c r="A30" s="225"/>
      <c r="B30" s="231"/>
      <c r="C30" s="226" t="s">
        <v>285</v>
      </c>
      <c r="D30" s="227">
        <v>7179</v>
      </c>
      <c r="E30" s="228">
        <v>2835</v>
      </c>
      <c r="F30" s="228">
        <v>3542</v>
      </c>
      <c r="G30" s="228">
        <v>802</v>
      </c>
      <c r="J30" s="232"/>
    </row>
    <row r="31" spans="1:10" ht="15" customHeight="1" x14ac:dyDescent="0.2">
      <c r="A31" s="204"/>
      <c r="B31" s="209"/>
      <c r="C31" s="210" t="s">
        <v>277</v>
      </c>
      <c r="D31" s="211">
        <v>641</v>
      </c>
      <c r="E31" s="230">
        <v>449</v>
      </c>
      <c r="F31" s="230">
        <v>188</v>
      </c>
      <c r="G31" s="230">
        <v>4</v>
      </c>
      <c r="J31" s="233"/>
    </row>
    <row r="32" spans="1:10" ht="15" customHeight="1" x14ac:dyDescent="0.2">
      <c r="A32" s="204"/>
      <c r="B32" s="209"/>
      <c r="C32" s="210" t="s">
        <v>278</v>
      </c>
      <c r="D32" s="211">
        <v>664</v>
      </c>
      <c r="E32" s="230">
        <v>472</v>
      </c>
      <c r="F32" s="230">
        <v>190</v>
      </c>
      <c r="G32" s="230">
        <v>2</v>
      </c>
      <c r="J32" s="233"/>
    </row>
    <row r="33" spans="1:10" ht="15" customHeight="1" x14ac:dyDescent="0.2">
      <c r="A33" s="204"/>
      <c r="B33" s="209"/>
      <c r="C33" s="210" t="s">
        <v>279</v>
      </c>
      <c r="D33" s="211">
        <v>258</v>
      </c>
      <c r="E33" s="230">
        <v>134</v>
      </c>
      <c r="F33" s="230">
        <v>120</v>
      </c>
      <c r="G33" s="230">
        <v>4</v>
      </c>
      <c r="J33" s="233"/>
    </row>
    <row r="34" spans="1:10" s="229" customFormat="1" ht="15" customHeight="1" x14ac:dyDescent="0.25">
      <c r="A34" s="225"/>
      <c r="B34" s="231"/>
      <c r="C34" s="226" t="s">
        <v>286</v>
      </c>
      <c r="D34" s="227">
        <v>9666</v>
      </c>
      <c r="E34" s="228">
        <v>3994</v>
      </c>
      <c r="F34" s="228">
        <v>4628</v>
      </c>
      <c r="G34" s="228">
        <v>1044</v>
      </c>
      <c r="J34" s="232"/>
    </row>
    <row r="35" spans="1:10" ht="15" customHeight="1" x14ac:dyDescent="0.2">
      <c r="A35" s="204"/>
      <c r="B35" s="209"/>
      <c r="C35" s="210" t="s">
        <v>277</v>
      </c>
      <c r="D35" s="211">
        <v>752</v>
      </c>
      <c r="E35" s="230">
        <v>541</v>
      </c>
      <c r="F35" s="230">
        <v>203</v>
      </c>
      <c r="G35" s="230">
        <v>8</v>
      </c>
      <c r="J35" s="233"/>
    </row>
    <row r="36" spans="1:10" ht="15" customHeight="1" x14ac:dyDescent="0.2">
      <c r="A36" s="204"/>
      <c r="B36" s="209"/>
      <c r="C36" s="210" t="s">
        <v>278</v>
      </c>
      <c r="D36" s="211">
        <v>785</v>
      </c>
      <c r="E36" s="230">
        <v>505</v>
      </c>
      <c r="F36" s="230">
        <v>274</v>
      </c>
      <c r="G36" s="230">
        <v>6</v>
      </c>
      <c r="J36" s="233"/>
    </row>
    <row r="37" spans="1:10" ht="15" customHeight="1" x14ac:dyDescent="0.2">
      <c r="A37" s="204"/>
      <c r="B37" s="209"/>
      <c r="C37" s="210" t="s">
        <v>279</v>
      </c>
      <c r="D37" s="211">
        <v>389</v>
      </c>
      <c r="E37" s="230">
        <v>224</v>
      </c>
      <c r="F37" s="230">
        <v>157</v>
      </c>
      <c r="G37" s="230">
        <v>8</v>
      </c>
      <c r="J37" s="233"/>
    </row>
    <row r="38" spans="1:10" s="229" customFormat="1" ht="15" customHeight="1" x14ac:dyDescent="0.25">
      <c r="A38" s="225"/>
      <c r="B38" s="231"/>
      <c r="C38" s="226" t="s">
        <v>287</v>
      </c>
      <c r="D38" s="227">
        <v>9114</v>
      </c>
      <c r="E38" s="228">
        <v>3240</v>
      </c>
      <c r="F38" s="228">
        <v>4862</v>
      </c>
      <c r="G38" s="228">
        <v>1012</v>
      </c>
      <c r="J38" s="232"/>
    </row>
    <row r="39" spans="1:10" ht="15" customHeight="1" x14ac:dyDescent="0.2">
      <c r="A39" s="204"/>
      <c r="B39" s="209"/>
      <c r="C39" s="210" t="s">
        <v>277</v>
      </c>
      <c r="D39" s="211">
        <v>676</v>
      </c>
      <c r="E39" s="230">
        <v>455</v>
      </c>
      <c r="F39" s="230">
        <v>219</v>
      </c>
      <c r="G39" s="230">
        <v>2</v>
      </c>
      <c r="J39" s="233"/>
    </row>
    <row r="40" spans="1:10" ht="15" customHeight="1" x14ac:dyDescent="0.2">
      <c r="A40" s="204"/>
      <c r="B40" s="209"/>
      <c r="C40" s="210" t="s">
        <v>278</v>
      </c>
      <c r="D40" s="211">
        <v>809</v>
      </c>
      <c r="E40" s="230">
        <v>474</v>
      </c>
      <c r="F40" s="230">
        <v>332</v>
      </c>
      <c r="G40" s="230">
        <v>3</v>
      </c>
      <c r="J40" s="233"/>
    </row>
    <row r="41" spans="1:10" ht="15" customHeight="1" x14ac:dyDescent="0.2">
      <c r="A41" s="204"/>
      <c r="B41" s="209"/>
      <c r="C41" s="210" t="s">
        <v>279</v>
      </c>
      <c r="D41" s="211">
        <v>420</v>
      </c>
      <c r="E41" s="230">
        <v>202</v>
      </c>
      <c r="F41" s="230">
        <v>213</v>
      </c>
      <c r="G41" s="230">
        <v>5</v>
      </c>
      <c r="J41" s="233"/>
    </row>
    <row r="42" spans="1:10" s="229" customFormat="1" ht="15" customHeight="1" x14ac:dyDescent="0.25">
      <c r="A42" s="225"/>
      <c r="B42" s="231"/>
      <c r="C42" s="226" t="s">
        <v>288</v>
      </c>
      <c r="D42" s="227">
        <v>12549</v>
      </c>
      <c r="E42" s="228">
        <v>4805</v>
      </c>
      <c r="F42" s="228">
        <v>6318</v>
      </c>
      <c r="G42" s="228">
        <v>1426</v>
      </c>
      <c r="J42" s="232"/>
    </row>
    <row r="43" spans="1:10" ht="15" customHeight="1" x14ac:dyDescent="0.2">
      <c r="A43" s="204"/>
      <c r="B43" s="209"/>
      <c r="C43" s="210" t="s">
        <v>277</v>
      </c>
      <c r="D43" s="211">
        <v>1118</v>
      </c>
      <c r="E43" s="230">
        <v>791</v>
      </c>
      <c r="F43" s="230">
        <v>322</v>
      </c>
      <c r="G43" s="230">
        <v>5</v>
      </c>
      <c r="J43" s="233"/>
    </row>
    <row r="44" spans="1:10" ht="15" customHeight="1" x14ac:dyDescent="0.2">
      <c r="A44" s="204"/>
      <c r="B44" s="209"/>
      <c r="C44" s="210" t="s">
        <v>278</v>
      </c>
      <c r="D44" s="211">
        <v>1198</v>
      </c>
      <c r="E44" s="230">
        <v>778</v>
      </c>
      <c r="F44" s="230">
        <v>410</v>
      </c>
      <c r="G44" s="230">
        <v>10</v>
      </c>
      <c r="J44" s="233"/>
    </row>
    <row r="45" spans="1:10" ht="15" customHeight="1" x14ac:dyDescent="0.2">
      <c r="A45" s="204"/>
      <c r="B45" s="209"/>
      <c r="C45" s="210" t="s">
        <v>279</v>
      </c>
      <c r="D45" s="211">
        <v>505</v>
      </c>
      <c r="E45" s="230">
        <v>272</v>
      </c>
      <c r="F45" s="230">
        <v>225</v>
      </c>
      <c r="G45" s="230">
        <v>8</v>
      </c>
      <c r="J45" s="233"/>
    </row>
    <row r="46" spans="1:10" s="229" customFormat="1" ht="15" customHeight="1" x14ac:dyDescent="0.25">
      <c r="A46" s="225"/>
      <c r="B46" s="231"/>
      <c r="C46" s="226" t="s">
        <v>289</v>
      </c>
      <c r="D46" s="227">
        <v>4646</v>
      </c>
      <c r="E46" s="228">
        <v>1806</v>
      </c>
      <c r="F46" s="228">
        <v>2329</v>
      </c>
      <c r="G46" s="228">
        <v>511</v>
      </c>
      <c r="J46" s="232"/>
    </row>
    <row r="47" spans="1:10" ht="15" customHeight="1" x14ac:dyDescent="0.2">
      <c r="A47" s="204"/>
      <c r="B47" s="209"/>
      <c r="C47" s="210" t="s">
        <v>277</v>
      </c>
      <c r="D47" s="211">
        <v>340</v>
      </c>
      <c r="E47" s="230">
        <v>246</v>
      </c>
      <c r="F47" s="230">
        <v>91</v>
      </c>
      <c r="G47" s="230">
        <v>3</v>
      </c>
      <c r="J47" s="233"/>
    </row>
    <row r="48" spans="1:10" ht="15" customHeight="1" x14ac:dyDescent="0.2">
      <c r="A48" s="204"/>
      <c r="B48" s="209"/>
      <c r="C48" s="210" t="s">
        <v>278</v>
      </c>
      <c r="D48" s="211">
        <v>405</v>
      </c>
      <c r="E48" s="230">
        <v>261</v>
      </c>
      <c r="F48" s="230">
        <v>142</v>
      </c>
      <c r="G48" s="230">
        <v>2</v>
      </c>
      <c r="J48" s="233"/>
    </row>
    <row r="49" spans="1:10" ht="15" customHeight="1" x14ac:dyDescent="0.2">
      <c r="A49" s="204"/>
      <c r="B49" s="209"/>
      <c r="C49" s="210" t="s">
        <v>279</v>
      </c>
      <c r="D49" s="211">
        <v>177</v>
      </c>
      <c r="E49" s="230">
        <v>87</v>
      </c>
      <c r="F49" s="230">
        <v>89</v>
      </c>
      <c r="G49" s="230">
        <v>1</v>
      </c>
      <c r="J49" s="233"/>
    </row>
    <row r="50" spans="1:10" s="229" customFormat="1" ht="15" customHeight="1" x14ac:dyDescent="0.25">
      <c r="A50" s="225"/>
      <c r="B50" s="231"/>
      <c r="C50" s="226" t="s">
        <v>290</v>
      </c>
      <c r="D50" s="227">
        <v>9812</v>
      </c>
      <c r="E50" s="228">
        <v>3790</v>
      </c>
      <c r="F50" s="228">
        <v>4673</v>
      </c>
      <c r="G50" s="228">
        <v>1349</v>
      </c>
      <c r="J50" s="232"/>
    </row>
    <row r="51" spans="1:10" ht="15" customHeight="1" x14ac:dyDescent="0.2">
      <c r="A51" s="204"/>
      <c r="B51" s="209"/>
      <c r="C51" s="210" t="s">
        <v>277</v>
      </c>
      <c r="D51" s="211">
        <v>797</v>
      </c>
      <c r="E51" s="230">
        <v>582</v>
      </c>
      <c r="F51" s="230">
        <v>209</v>
      </c>
      <c r="G51" s="230">
        <v>6</v>
      </c>
      <c r="J51" s="233"/>
    </row>
    <row r="52" spans="1:10" ht="15" customHeight="1" x14ac:dyDescent="0.2">
      <c r="A52" s="204"/>
      <c r="B52" s="209"/>
      <c r="C52" s="210" t="s">
        <v>278</v>
      </c>
      <c r="D52" s="211">
        <v>796</v>
      </c>
      <c r="E52" s="230">
        <v>539</v>
      </c>
      <c r="F52" s="230">
        <v>249</v>
      </c>
      <c r="G52" s="230">
        <v>8</v>
      </c>
      <c r="J52" s="233"/>
    </row>
    <row r="53" spans="1:10" ht="15" customHeight="1" x14ac:dyDescent="0.2">
      <c r="A53" s="204"/>
      <c r="B53" s="209"/>
      <c r="C53" s="210" t="s">
        <v>279</v>
      </c>
      <c r="D53" s="211">
        <v>390</v>
      </c>
      <c r="E53" s="230">
        <v>202</v>
      </c>
      <c r="F53" s="230">
        <v>181</v>
      </c>
      <c r="G53" s="230">
        <v>7</v>
      </c>
      <c r="J53" s="233"/>
    </row>
    <row r="54" spans="1:10" s="229" customFormat="1" ht="15" customHeight="1" x14ac:dyDescent="0.25">
      <c r="A54" s="225"/>
      <c r="B54" s="231"/>
      <c r="C54" s="226" t="s">
        <v>291</v>
      </c>
      <c r="D54" s="227">
        <v>7940</v>
      </c>
      <c r="E54" s="228">
        <v>3217</v>
      </c>
      <c r="F54" s="228">
        <v>3705</v>
      </c>
      <c r="G54" s="228">
        <v>1018</v>
      </c>
      <c r="J54" s="232"/>
    </row>
    <row r="55" spans="1:10" ht="15" customHeight="1" x14ac:dyDescent="0.2">
      <c r="A55" s="204"/>
      <c r="B55" s="209"/>
      <c r="C55" s="210" t="s">
        <v>277</v>
      </c>
      <c r="D55" s="211">
        <v>618</v>
      </c>
      <c r="E55" s="230">
        <v>444</v>
      </c>
      <c r="F55" s="230">
        <v>170</v>
      </c>
      <c r="G55" s="230">
        <v>4</v>
      </c>
      <c r="J55" s="233"/>
    </row>
    <row r="56" spans="1:10" ht="15" customHeight="1" x14ac:dyDescent="0.2">
      <c r="A56" s="204"/>
      <c r="B56" s="209"/>
      <c r="C56" s="210" t="s">
        <v>278</v>
      </c>
      <c r="D56" s="211">
        <v>674</v>
      </c>
      <c r="E56" s="230">
        <v>440</v>
      </c>
      <c r="F56" s="230">
        <v>229</v>
      </c>
      <c r="G56" s="230">
        <v>5</v>
      </c>
      <c r="J56" s="233"/>
    </row>
    <row r="57" spans="1:10" ht="15" customHeight="1" x14ac:dyDescent="0.2">
      <c r="A57" s="204"/>
      <c r="B57" s="209"/>
      <c r="C57" s="210" t="s">
        <v>279</v>
      </c>
      <c r="D57" s="211">
        <v>293</v>
      </c>
      <c r="E57" s="230">
        <v>161</v>
      </c>
      <c r="F57" s="230">
        <v>128</v>
      </c>
      <c r="G57" s="230">
        <v>4</v>
      </c>
      <c r="J57" s="233"/>
    </row>
    <row r="58" spans="1:10" s="229" customFormat="1" ht="15" customHeight="1" x14ac:dyDescent="0.25">
      <c r="A58" s="225"/>
      <c r="B58" s="231"/>
      <c r="C58" s="226" t="s">
        <v>292</v>
      </c>
      <c r="D58" s="227">
        <v>10949</v>
      </c>
      <c r="E58" s="228">
        <v>4102</v>
      </c>
      <c r="F58" s="228">
        <v>5476</v>
      </c>
      <c r="G58" s="228">
        <v>1371</v>
      </c>
      <c r="J58" s="232"/>
    </row>
    <row r="59" spans="1:10" ht="15" customHeight="1" x14ac:dyDescent="0.2">
      <c r="A59" s="204"/>
      <c r="B59" s="209"/>
      <c r="C59" s="210" t="s">
        <v>277</v>
      </c>
      <c r="D59" s="211">
        <v>959</v>
      </c>
      <c r="E59" s="230">
        <v>688</v>
      </c>
      <c r="F59" s="230">
        <v>263</v>
      </c>
      <c r="G59" s="230">
        <v>8</v>
      </c>
      <c r="J59" s="233"/>
    </row>
    <row r="60" spans="1:10" ht="15" customHeight="1" x14ac:dyDescent="0.2">
      <c r="A60" s="204"/>
      <c r="B60" s="209"/>
      <c r="C60" s="210" t="s">
        <v>278</v>
      </c>
      <c r="D60" s="211">
        <v>1041</v>
      </c>
      <c r="E60" s="230">
        <v>662</v>
      </c>
      <c r="F60" s="230">
        <v>374</v>
      </c>
      <c r="G60" s="230">
        <v>5</v>
      </c>
      <c r="J60" s="233"/>
    </row>
    <row r="61" spans="1:10" ht="15" customHeight="1" x14ac:dyDescent="0.2">
      <c r="A61" s="204"/>
      <c r="B61" s="209"/>
      <c r="C61" s="210" t="s">
        <v>279</v>
      </c>
      <c r="D61" s="211">
        <v>458</v>
      </c>
      <c r="E61" s="230">
        <v>235</v>
      </c>
      <c r="F61" s="230">
        <v>215</v>
      </c>
      <c r="G61" s="230">
        <v>8</v>
      </c>
      <c r="J61" s="233"/>
    </row>
    <row r="62" spans="1:10" s="229" customFormat="1" ht="15" customHeight="1" x14ac:dyDescent="0.25">
      <c r="A62" s="225"/>
      <c r="B62" s="231"/>
      <c r="C62" s="226" t="s">
        <v>293</v>
      </c>
      <c r="D62" s="227">
        <v>4565</v>
      </c>
      <c r="E62" s="228">
        <v>1663</v>
      </c>
      <c r="F62" s="228">
        <v>2306</v>
      </c>
      <c r="G62" s="228">
        <v>596</v>
      </c>
      <c r="J62" s="232"/>
    </row>
    <row r="63" spans="1:10" ht="15" customHeight="1" x14ac:dyDescent="0.2">
      <c r="A63" s="204"/>
      <c r="B63" s="209"/>
      <c r="C63" s="210" t="s">
        <v>277</v>
      </c>
      <c r="D63" s="211">
        <v>339</v>
      </c>
      <c r="E63" s="230">
        <v>216</v>
      </c>
      <c r="F63" s="230">
        <v>119</v>
      </c>
      <c r="G63" s="230">
        <v>4</v>
      </c>
      <c r="J63" s="233"/>
    </row>
    <row r="64" spans="1:10" ht="15" customHeight="1" x14ac:dyDescent="0.2">
      <c r="A64" s="204"/>
      <c r="B64" s="209"/>
      <c r="C64" s="210" t="s">
        <v>278</v>
      </c>
      <c r="D64" s="211">
        <v>442</v>
      </c>
      <c r="E64" s="230">
        <v>268</v>
      </c>
      <c r="F64" s="230">
        <v>174</v>
      </c>
      <c r="G64" s="228" t="s">
        <v>64</v>
      </c>
      <c r="J64" s="233"/>
    </row>
    <row r="65" spans="1:99" ht="15" customHeight="1" x14ac:dyDescent="0.2">
      <c r="A65" s="204"/>
      <c r="B65" s="209"/>
      <c r="C65" s="210" t="s">
        <v>279</v>
      </c>
      <c r="D65" s="211">
        <v>170</v>
      </c>
      <c r="E65" s="230">
        <v>83</v>
      </c>
      <c r="F65" s="230">
        <v>83</v>
      </c>
      <c r="G65" s="230">
        <v>4</v>
      </c>
      <c r="J65" s="233"/>
    </row>
    <row r="66" spans="1:99" s="229" customFormat="1" ht="15" customHeight="1" x14ac:dyDescent="0.25">
      <c r="A66" s="225"/>
      <c r="B66" s="231"/>
      <c r="C66" s="226" t="s">
        <v>294</v>
      </c>
      <c r="D66" s="227">
        <v>10693</v>
      </c>
      <c r="E66" s="228">
        <v>4180</v>
      </c>
      <c r="F66" s="228">
        <v>5141</v>
      </c>
      <c r="G66" s="228">
        <v>1372</v>
      </c>
      <c r="J66" s="232"/>
    </row>
    <row r="67" spans="1:99" ht="15" customHeight="1" x14ac:dyDescent="0.2">
      <c r="A67" s="204"/>
      <c r="B67" s="209"/>
      <c r="C67" s="210" t="s">
        <v>277</v>
      </c>
      <c r="D67" s="211">
        <v>917</v>
      </c>
      <c r="E67" s="230">
        <v>658</v>
      </c>
      <c r="F67" s="230">
        <v>253</v>
      </c>
      <c r="G67" s="230">
        <v>6</v>
      </c>
      <c r="J67" s="233"/>
    </row>
    <row r="68" spans="1:99" ht="15" customHeight="1" x14ac:dyDescent="0.2">
      <c r="A68" s="204"/>
      <c r="B68" s="209"/>
      <c r="C68" s="210" t="s">
        <v>278</v>
      </c>
      <c r="D68" s="211">
        <v>986</v>
      </c>
      <c r="E68" s="230">
        <v>651</v>
      </c>
      <c r="F68" s="230">
        <v>323</v>
      </c>
      <c r="G68" s="230">
        <v>12</v>
      </c>
      <c r="J68" s="233"/>
    </row>
    <row r="69" spans="1:99" ht="13.8" x14ac:dyDescent="0.2">
      <c r="A69" s="204"/>
      <c r="B69" s="234"/>
      <c r="C69" s="235" t="s">
        <v>279</v>
      </c>
      <c r="D69" s="214">
        <v>425</v>
      </c>
      <c r="E69" s="236">
        <v>234</v>
      </c>
      <c r="F69" s="236">
        <v>186</v>
      </c>
      <c r="G69" s="236">
        <v>5</v>
      </c>
    </row>
    <row r="71" spans="1:99" ht="15" customHeight="1" x14ac:dyDescent="0.2">
      <c r="A71" s="204"/>
      <c r="B71" s="204"/>
      <c r="C71" s="400" t="s">
        <v>268</v>
      </c>
      <c r="D71" s="400"/>
      <c r="E71" s="400"/>
      <c r="F71" s="400"/>
      <c r="G71" s="400"/>
      <c r="H71" s="400"/>
      <c r="I71" s="400"/>
    </row>
    <row r="72" spans="1:99" ht="15" customHeight="1" x14ac:dyDescent="0.2">
      <c r="A72" s="204"/>
      <c r="B72" s="204"/>
      <c r="C72" s="420" t="s">
        <v>295</v>
      </c>
      <c r="D72" s="420"/>
      <c r="E72" s="420"/>
      <c r="F72" s="420"/>
      <c r="G72" s="420"/>
      <c r="H72" s="420"/>
      <c r="I72" s="420"/>
    </row>
    <row r="73" spans="1:99" ht="16.2" customHeight="1" x14ac:dyDescent="0.2">
      <c r="C73" s="420"/>
      <c r="D73" s="420"/>
      <c r="E73" s="420"/>
      <c r="F73" s="420"/>
      <c r="G73" s="420"/>
      <c r="H73" s="420"/>
      <c r="I73" s="420"/>
    </row>
    <row r="74" spans="1:99" ht="15" customHeight="1" x14ac:dyDescent="0.2">
      <c r="C74" s="421" t="s">
        <v>296</v>
      </c>
      <c r="D74" s="421"/>
      <c r="E74" s="421"/>
      <c r="F74" s="421"/>
      <c r="G74" s="421"/>
      <c r="H74" s="421"/>
      <c r="I74" s="421"/>
    </row>
    <row r="75" spans="1:99" ht="21" customHeight="1" x14ac:dyDescent="0.2">
      <c r="H75" s="237"/>
      <c r="I75" s="237"/>
    </row>
    <row r="76" spans="1:99" s="222" customFormat="1" ht="22.5" customHeight="1" x14ac:dyDescent="0.2">
      <c r="A76" s="204"/>
      <c r="B76" s="204"/>
      <c r="C76" s="422" t="s">
        <v>266</v>
      </c>
      <c r="D76" s="417" t="s">
        <v>15</v>
      </c>
      <c r="E76" s="417"/>
      <c r="F76" s="417"/>
      <c r="G76" s="417"/>
      <c r="H76" s="417"/>
      <c r="I76" s="417"/>
      <c r="J76" s="417" t="s">
        <v>280</v>
      </c>
      <c r="K76" s="417"/>
      <c r="L76" s="417"/>
      <c r="M76" s="417"/>
      <c r="N76" s="417"/>
      <c r="O76" s="417"/>
      <c r="P76" s="417" t="s">
        <v>281</v>
      </c>
      <c r="Q76" s="417"/>
      <c r="R76" s="417"/>
      <c r="S76" s="417"/>
      <c r="T76" s="417"/>
      <c r="U76" s="417"/>
      <c r="V76" s="417" t="s">
        <v>282</v>
      </c>
      <c r="W76" s="417"/>
      <c r="X76" s="417"/>
      <c r="Y76" s="417"/>
      <c r="Z76" s="417"/>
      <c r="AA76" s="417"/>
      <c r="AB76" s="417" t="s">
        <v>283</v>
      </c>
      <c r="AC76" s="417"/>
      <c r="AD76" s="417"/>
      <c r="AE76" s="417"/>
      <c r="AF76" s="417"/>
      <c r="AG76" s="417"/>
      <c r="AH76" s="417" t="s">
        <v>284</v>
      </c>
      <c r="AI76" s="417"/>
      <c r="AJ76" s="417"/>
      <c r="AK76" s="417"/>
      <c r="AL76" s="417"/>
      <c r="AM76" s="417"/>
      <c r="AN76" s="417" t="s">
        <v>285</v>
      </c>
      <c r="AO76" s="417"/>
      <c r="AP76" s="417"/>
      <c r="AQ76" s="417"/>
      <c r="AR76" s="417"/>
      <c r="AS76" s="417"/>
      <c r="AT76" s="417" t="s">
        <v>286</v>
      </c>
      <c r="AU76" s="417"/>
      <c r="AV76" s="417"/>
      <c r="AW76" s="417"/>
      <c r="AX76" s="417"/>
      <c r="AY76" s="417"/>
      <c r="AZ76" s="417" t="s">
        <v>287</v>
      </c>
      <c r="BA76" s="417"/>
      <c r="BB76" s="417"/>
      <c r="BC76" s="417"/>
      <c r="BD76" s="417"/>
      <c r="BE76" s="417"/>
      <c r="BF76" s="417" t="s">
        <v>288</v>
      </c>
      <c r="BG76" s="417"/>
      <c r="BH76" s="417"/>
      <c r="BI76" s="417"/>
      <c r="BJ76" s="417"/>
      <c r="BK76" s="417"/>
      <c r="BL76" s="417" t="s">
        <v>289</v>
      </c>
      <c r="BM76" s="417"/>
      <c r="BN76" s="417"/>
      <c r="BO76" s="417"/>
      <c r="BP76" s="417"/>
      <c r="BQ76" s="417"/>
      <c r="BR76" s="417" t="s">
        <v>290</v>
      </c>
      <c r="BS76" s="417"/>
      <c r="BT76" s="417"/>
      <c r="BU76" s="417"/>
      <c r="BV76" s="417"/>
      <c r="BW76" s="417"/>
      <c r="BX76" s="417" t="s">
        <v>291</v>
      </c>
      <c r="BY76" s="417"/>
      <c r="BZ76" s="417"/>
      <c r="CA76" s="417"/>
      <c r="CB76" s="417"/>
      <c r="CC76" s="417"/>
      <c r="CD76" s="417" t="s">
        <v>292</v>
      </c>
      <c r="CE76" s="417"/>
      <c r="CF76" s="417"/>
      <c r="CG76" s="417"/>
      <c r="CH76" s="417"/>
      <c r="CI76" s="417"/>
      <c r="CJ76" s="417" t="s">
        <v>293</v>
      </c>
      <c r="CK76" s="417"/>
      <c r="CL76" s="417"/>
      <c r="CM76" s="417"/>
      <c r="CN76" s="417"/>
      <c r="CO76" s="417"/>
      <c r="CP76" s="417" t="s">
        <v>294</v>
      </c>
      <c r="CQ76" s="417"/>
      <c r="CR76" s="417"/>
      <c r="CS76" s="417"/>
      <c r="CT76" s="417"/>
      <c r="CU76" s="418"/>
    </row>
    <row r="77" spans="1:99" s="222" customFormat="1" ht="35.25" customHeight="1" x14ac:dyDescent="0.2">
      <c r="A77" s="204"/>
      <c r="B77" s="204"/>
      <c r="C77" s="423"/>
      <c r="D77" s="223" t="s">
        <v>297</v>
      </c>
      <c r="E77" s="223" t="s">
        <v>277</v>
      </c>
      <c r="F77" s="223" t="s">
        <v>298</v>
      </c>
      <c r="G77" s="223" t="s">
        <v>278</v>
      </c>
      <c r="H77" s="223" t="s">
        <v>299</v>
      </c>
      <c r="I77" s="224" t="s">
        <v>279</v>
      </c>
      <c r="J77" s="223" t="s">
        <v>16</v>
      </c>
      <c r="K77" s="223" t="s">
        <v>277</v>
      </c>
      <c r="L77" s="223" t="s">
        <v>300</v>
      </c>
      <c r="M77" s="223" t="s">
        <v>278</v>
      </c>
      <c r="N77" s="223" t="s">
        <v>299</v>
      </c>
      <c r="O77" s="224" t="s">
        <v>279</v>
      </c>
      <c r="P77" s="223" t="s">
        <v>16</v>
      </c>
      <c r="Q77" s="223" t="s">
        <v>277</v>
      </c>
      <c r="R77" s="223" t="s">
        <v>300</v>
      </c>
      <c r="S77" s="223" t="s">
        <v>278</v>
      </c>
      <c r="T77" s="223" t="s">
        <v>299</v>
      </c>
      <c r="U77" s="224" t="s">
        <v>279</v>
      </c>
      <c r="V77" s="223" t="s">
        <v>16</v>
      </c>
      <c r="W77" s="223" t="s">
        <v>277</v>
      </c>
      <c r="X77" s="223" t="s">
        <v>300</v>
      </c>
      <c r="Y77" s="223" t="s">
        <v>278</v>
      </c>
      <c r="Z77" s="223" t="s">
        <v>299</v>
      </c>
      <c r="AA77" s="224" t="s">
        <v>279</v>
      </c>
      <c r="AB77" s="223" t="s">
        <v>16</v>
      </c>
      <c r="AC77" s="223" t="s">
        <v>277</v>
      </c>
      <c r="AD77" s="223" t="s">
        <v>300</v>
      </c>
      <c r="AE77" s="223" t="s">
        <v>278</v>
      </c>
      <c r="AF77" s="223" t="s">
        <v>299</v>
      </c>
      <c r="AG77" s="224" t="s">
        <v>279</v>
      </c>
      <c r="AH77" s="223" t="s">
        <v>16</v>
      </c>
      <c r="AI77" s="223" t="s">
        <v>277</v>
      </c>
      <c r="AJ77" s="223" t="s">
        <v>300</v>
      </c>
      <c r="AK77" s="223" t="s">
        <v>278</v>
      </c>
      <c r="AL77" s="223" t="s">
        <v>299</v>
      </c>
      <c r="AM77" s="224" t="s">
        <v>279</v>
      </c>
      <c r="AN77" s="223" t="s">
        <v>16</v>
      </c>
      <c r="AO77" s="223" t="s">
        <v>277</v>
      </c>
      <c r="AP77" s="223" t="s">
        <v>300</v>
      </c>
      <c r="AQ77" s="223" t="s">
        <v>278</v>
      </c>
      <c r="AR77" s="223" t="s">
        <v>299</v>
      </c>
      <c r="AS77" s="224" t="s">
        <v>279</v>
      </c>
      <c r="AT77" s="223" t="s">
        <v>16</v>
      </c>
      <c r="AU77" s="223" t="s">
        <v>277</v>
      </c>
      <c r="AV77" s="223" t="s">
        <v>300</v>
      </c>
      <c r="AW77" s="223" t="s">
        <v>278</v>
      </c>
      <c r="AX77" s="223" t="s">
        <v>299</v>
      </c>
      <c r="AY77" s="224" t="s">
        <v>279</v>
      </c>
      <c r="AZ77" s="223" t="s">
        <v>16</v>
      </c>
      <c r="BA77" s="223" t="s">
        <v>277</v>
      </c>
      <c r="BB77" s="223" t="s">
        <v>300</v>
      </c>
      <c r="BC77" s="223" t="s">
        <v>278</v>
      </c>
      <c r="BD77" s="223" t="s">
        <v>299</v>
      </c>
      <c r="BE77" s="224" t="s">
        <v>279</v>
      </c>
      <c r="BF77" s="223" t="s">
        <v>16</v>
      </c>
      <c r="BG77" s="223" t="s">
        <v>277</v>
      </c>
      <c r="BH77" s="223" t="s">
        <v>300</v>
      </c>
      <c r="BI77" s="223" t="s">
        <v>278</v>
      </c>
      <c r="BJ77" s="223" t="s">
        <v>299</v>
      </c>
      <c r="BK77" s="224" t="s">
        <v>279</v>
      </c>
      <c r="BL77" s="223" t="s">
        <v>16</v>
      </c>
      <c r="BM77" s="223" t="s">
        <v>277</v>
      </c>
      <c r="BN77" s="223" t="s">
        <v>300</v>
      </c>
      <c r="BO77" s="223" t="s">
        <v>278</v>
      </c>
      <c r="BP77" s="223" t="s">
        <v>299</v>
      </c>
      <c r="BQ77" s="224" t="s">
        <v>279</v>
      </c>
      <c r="BR77" s="223" t="s">
        <v>16</v>
      </c>
      <c r="BS77" s="223" t="s">
        <v>277</v>
      </c>
      <c r="BT77" s="223" t="s">
        <v>300</v>
      </c>
      <c r="BU77" s="223" t="s">
        <v>278</v>
      </c>
      <c r="BV77" s="223" t="s">
        <v>299</v>
      </c>
      <c r="BW77" s="224" t="s">
        <v>279</v>
      </c>
      <c r="BX77" s="223" t="s">
        <v>16</v>
      </c>
      <c r="BY77" s="223" t="s">
        <v>277</v>
      </c>
      <c r="BZ77" s="223" t="s">
        <v>300</v>
      </c>
      <c r="CA77" s="223" t="s">
        <v>278</v>
      </c>
      <c r="CB77" s="223" t="s">
        <v>299</v>
      </c>
      <c r="CC77" s="224" t="s">
        <v>279</v>
      </c>
      <c r="CD77" s="223" t="s">
        <v>16</v>
      </c>
      <c r="CE77" s="223" t="s">
        <v>277</v>
      </c>
      <c r="CF77" s="223" t="s">
        <v>300</v>
      </c>
      <c r="CG77" s="223" t="s">
        <v>278</v>
      </c>
      <c r="CH77" s="223" t="s">
        <v>299</v>
      </c>
      <c r="CI77" s="224" t="s">
        <v>279</v>
      </c>
      <c r="CJ77" s="223" t="s">
        <v>16</v>
      </c>
      <c r="CK77" s="223" t="s">
        <v>277</v>
      </c>
      <c r="CL77" s="223" t="s">
        <v>300</v>
      </c>
      <c r="CM77" s="223" t="s">
        <v>278</v>
      </c>
      <c r="CN77" s="223" t="s">
        <v>299</v>
      </c>
      <c r="CO77" s="224" t="s">
        <v>279</v>
      </c>
      <c r="CP77" s="362" t="s">
        <v>16</v>
      </c>
      <c r="CQ77" s="362" t="s">
        <v>277</v>
      </c>
      <c r="CR77" s="362" t="s">
        <v>300</v>
      </c>
      <c r="CS77" s="362" t="s">
        <v>278</v>
      </c>
      <c r="CT77" s="362" t="s">
        <v>299</v>
      </c>
      <c r="CU77" s="373" t="s">
        <v>279</v>
      </c>
    </row>
    <row r="78" spans="1:99" ht="15" customHeight="1" x14ac:dyDescent="0.25">
      <c r="A78" s="204"/>
      <c r="B78" s="204"/>
      <c r="C78" s="238" t="s">
        <v>16</v>
      </c>
      <c r="D78" s="228">
        <v>113148</v>
      </c>
      <c r="E78" s="228">
        <v>9497</v>
      </c>
      <c r="F78" s="239">
        <f>E78/D78</f>
        <v>8.3934316116944185E-2</v>
      </c>
      <c r="G78" s="228">
        <v>10100</v>
      </c>
      <c r="H78" s="239">
        <f>G78/D78</f>
        <v>8.9263619330434474E-2</v>
      </c>
      <c r="I78" s="228">
        <v>4560</v>
      </c>
      <c r="J78" s="228">
        <v>3073</v>
      </c>
      <c r="K78" s="228">
        <v>300</v>
      </c>
      <c r="L78" s="239">
        <f>K78/J78</f>
        <v>9.7624471200780993E-2</v>
      </c>
      <c r="M78" s="228">
        <v>300</v>
      </c>
      <c r="N78" s="239">
        <f>M78/J78</f>
        <v>9.7624471200780993E-2</v>
      </c>
      <c r="O78" s="228">
        <v>129</v>
      </c>
      <c r="P78" s="228">
        <v>7637</v>
      </c>
      <c r="Q78" s="228">
        <v>738</v>
      </c>
      <c r="R78" s="239">
        <f>Q78/P78</f>
        <v>9.6634804242503605E-2</v>
      </c>
      <c r="S78" s="228">
        <v>691</v>
      </c>
      <c r="T78" s="239">
        <f>S78/P78</f>
        <v>9.0480555191829251E-2</v>
      </c>
      <c r="U78" s="228">
        <v>359</v>
      </c>
      <c r="V78" s="228">
        <v>7374</v>
      </c>
      <c r="W78" s="228">
        <v>640</v>
      </c>
      <c r="X78" s="239">
        <f>W78/V78</f>
        <v>8.6791429346352048E-2</v>
      </c>
      <c r="Y78" s="228">
        <v>620</v>
      </c>
      <c r="Z78" s="239">
        <f>Y78/V78</f>
        <v>8.4079197179278545E-2</v>
      </c>
      <c r="AA78" s="228">
        <v>292</v>
      </c>
      <c r="AB78" s="228">
        <v>2603</v>
      </c>
      <c r="AC78" s="228">
        <v>201</v>
      </c>
      <c r="AD78" s="239">
        <f>AC78/AB78</f>
        <v>7.7218593930080681E-2</v>
      </c>
      <c r="AE78" s="228">
        <v>256</v>
      </c>
      <c r="AF78" s="239">
        <f>AE78/AB78</f>
        <v>9.8348059930849024E-2</v>
      </c>
      <c r="AG78" s="228">
        <v>100</v>
      </c>
      <c r="AH78" s="228">
        <v>5348</v>
      </c>
      <c r="AI78" s="228">
        <v>461</v>
      </c>
      <c r="AJ78" s="239">
        <f>AI78/AH78</f>
        <v>8.6200448765893792E-2</v>
      </c>
      <c r="AK78" s="228">
        <v>433</v>
      </c>
      <c r="AL78" s="239">
        <f>AK78/AH78</f>
        <v>8.0964846671652949E-2</v>
      </c>
      <c r="AM78" s="228">
        <v>195</v>
      </c>
      <c r="AN78" s="228">
        <v>7179</v>
      </c>
      <c r="AO78" s="228">
        <v>641</v>
      </c>
      <c r="AP78" s="239">
        <f>AO78/AN78</f>
        <v>8.9288201699401035E-2</v>
      </c>
      <c r="AQ78" s="228">
        <v>664</v>
      </c>
      <c r="AR78" s="239">
        <f>AQ78/AN78</f>
        <v>9.2491990527928683E-2</v>
      </c>
      <c r="AS78" s="228">
        <v>258</v>
      </c>
      <c r="AT78" s="228">
        <v>9666</v>
      </c>
      <c r="AU78" s="228">
        <v>752</v>
      </c>
      <c r="AV78" s="239">
        <f>AU78/AT78</f>
        <v>7.779846885992138E-2</v>
      </c>
      <c r="AW78" s="228">
        <v>785</v>
      </c>
      <c r="AX78" s="239">
        <f>AW78/AT78</f>
        <v>8.1212497413614734E-2</v>
      </c>
      <c r="AY78" s="228">
        <v>389</v>
      </c>
      <c r="AZ78" s="228">
        <v>9114</v>
      </c>
      <c r="BA78" s="228">
        <v>676</v>
      </c>
      <c r="BB78" s="239">
        <f>BA78/AZ78</f>
        <v>7.4171604125521179E-2</v>
      </c>
      <c r="BC78" s="228">
        <v>809</v>
      </c>
      <c r="BD78" s="239">
        <f>BC78/AZ78</f>
        <v>8.8764538073293833E-2</v>
      </c>
      <c r="BE78" s="228">
        <v>420</v>
      </c>
      <c r="BF78" s="228">
        <v>12549</v>
      </c>
      <c r="BG78" s="228">
        <v>1118</v>
      </c>
      <c r="BH78" s="239">
        <f>BG78/BF78</f>
        <v>8.9090764204319065E-2</v>
      </c>
      <c r="BI78" s="228">
        <v>1198</v>
      </c>
      <c r="BJ78" s="239">
        <f>BI78/BF78</f>
        <v>9.5465774165272133E-2</v>
      </c>
      <c r="BK78" s="228">
        <v>505</v>
      </c>
      <c r="BL78" s="228">
        <v>4646</v>
      </c>
      <c r="BM78" s="228">
        <v>340</v>
      </c>
      <c r="BN78" s="239">
        <f>BM78/BL78</f>
        <v>7.3181231166594918E-2</v>
      </c>
      <c r="BO78" s="228">
        <v>405</v>
      </c>
      <c r="BP78" s="239">
        <f>BO78/BL78</f>
        <v>8.7171760654326302E-2</v>
      </c>
      <c r="BQ78" s="228">
        <v>177</v>
      </c>
      <c r="BR78" s="228">
        <v>9812</v>
      </c>
      <c r="BS78" s="228">
        <v>797</v>
      </c>
      <c r="BT78" s="239">
        <f>BS78/BR78</f>
        <v>8.1227068895230334E-2</v>
      </c>
      <c r="BU78" s="228">
        <v>796</v>
      </c>
      <c r="BV78" s="239">
        <f>BU78/BR78</f>
        <v>8.1125152874031797E-2</v>
      </c>
      <c r="BW78" s="228">
        <v>390</v>
      </c>
      <c r="BX78" s="228">
        <v>7940</v>
      </c>
      <c r="BY78" s="228">
        <v>618</v>
      </c>
      <c r="BZ78" s="239">
        <f>BY78/BX78</f>
        <v>7.7833753148614612E-2</v>
      </c>
      <c r="CA78" s="228">
        <v>674</v>
      </c>
      <c r="CB78" s="239">
        <f>CA78/BX78</f>
        <v>8.488664987405542E-2</v>
      </c>
      <c r="CC78" s="228">
        <v>293</v>
      </c>
      <c r="CD78" s="228">
        <v>10949</v>
      </c>
      <c r="CE78" s="228">
        <v>959</v>
      </c>
      <c r="CF78" s="239">
        <f>CE78/CD78</f>
        <v>8.7587907571467713E-2</v>
      </c>
      <c r="CG78" s="228">
        <v>1041</v>
      </c>
      <c r="CH78" s="239">
        <f>CG78/CD78</f>
        <v>9.5077175997808017E-2</v>
      </c>
      <c r="CI78" s="228">
        <v>458</v>
      </c>
      <c r="CJ78" s="228">
        <v>4565</v>
      </c>
      <c r="CK78" s="228">
        <v>339</v>
      </c>
      <c r="CL78" s="239">
        <f>CK78/CJ78</f>
        <v>7.4260679079956191E-2</v>
      </c>
      <c r="CM78" s="228">
        <v>442</v>
      </c>
      <c r="CN78" s="239">
        <f>CM78/CJ78</f>
        <v>9.6823658269441407E-2</v>
      </c>
      <c r="CO78" s="228">
        <v>170</v>
      </c>
      <c r="CP78" s="228">
        <v>10693</v>
      </c>
      <c r="CQ78" s="228">
        <v>917</v>
      </c>
      <c r="CR78" s="239">
        <f>CQ78/CP78</f>
        <v>8.5757037314130743E-2</v>
      </c>
      <c r="CS78" s="228">
        <v>986</v>
      </c>
      <c r="CT78" s="239">
        <f>CS78/CP78</f>
        <v>9.2209856915739269E-2</v>
      </c>
      <c r="CU78" s="228">
        <v>425</v>
      </c>
    </row>
    <row r="79" spans="1:99" ht="15" customHeight="1" x14ac:dyDescent="0.2">
      <c r="A79" s="204"/>
      <c r="B79" s="209"/>
      <c r="C79" s="210" t="s">
        <v>301</v>
      </c>
      <c r="D79" s="230">
        <v>10932</v>
      </c>
      <c r="E79" s="230">
        <v>755</v>
      </c>
      <c r="F79" s="240">
        <f t="shared" ref="F79:F88" si="0">E79/D79</f>
        <v>6.9063300402488106E-2</v>
      </c>
      <c r="G79" s="230">
        <v>936</v>
      </c>
      <c r="H79" s="240">
        <f t="shared" ref="H79:H88" si="1">G79/D79</f>
        <v>8.5620197585071348E-2</v>
      </c>
      <c r="I79" s="230">
        <v>294</v>
      </c>
      <c r="J79" s="230">
        <v>258</v>
      </c>
      <c r="K79" s="230">
        <v>24</v>
      </c>
      <c r="L79" s="240">
        <f t="shared" ref="L79:L88" si="2">K79/J79</f>
        <v>9.3023255813953487E-2</v>
      </c>
      <c r="M79" s="230">
        <v>12</v>
      </c>
      <c r="N79" s="240">
        <f t="shared" ref="N79:N88" si="3">M79/J79</f>
        <v>4.6511627906976744E-2</v>
      </c>
      <c r="O79" s="230">
        <v>5</v>
      </c>
      <c r="P79" s="230">
        <v>416</v>
      </c>
      <c r="Q79" s="230">
        <v>22</v>
      </c>
      <c r="R79" s="240">
        <f t="shared" ref="R79:R88" si="4">Q79/P79</f>
        <v>5.2884615384615384E-2</v>
      </c>
      <c r="S79" s="230">
        <v>33</v>
      </c>
      <c r="T79" s="240">
        <f t="shared" ref="T79:T88" si="5">S79/P79</f>
        <v>7.9326923076923073E-2</v>
      </c>
      <c r="U79" s="230">
        <v>19</v>
      </c>
      <c r="V79" s="230">
        <v>399</v>
      </c>
      <c r="W79" s="230">
        <v>25</v>
      </c>
      <c r="X79" s="240">
        <f t="shared" ref="X79:X88" si="6">W79/V79</f>
        <v>6.2656641604010022E-2</v>
      </c>
      <c r="Y79" s="230">
        <v>23</v>
      </c>
      <c r="Z79" s="240">
        <f t="shared" ref="Z79:Z88" si="7">Y79/V79</f>
        <v>5.764411027568922E-2</v>
      </c>
      <c r="AA79" s="230">
        <v>7</v>
      </c>
      <c r="AB79" s="230">
        <v>208</v>
      </c>
      <c r="AC79" s="230">
        <v>12</v>
      </c>
      <c r="AD79" s="240">
        <f t="shared" ref="AD79:AD88" si="8">AC79/AB79</f>
        <v>5.7692307692307696E-2</v>
      </c>
      <c r="AE79" s="230">
        <v>15</v>
      </c>
      <c r="AF79" s="240">
        <f t="shared" ref="AF79:AF88" si="9">AE79/AB79</f>
        <v>7.2115384615384609E-2</v>
      </c>
      <c r="AG79" s="230">
        <v>9</v>
      </c>
      <c r="AH79" s="230">
        <v>1036</v>
      </c>
      <c r="AI79" s="230">
        <v>58</v>
      </c>
      <c r="AJ79" s="240">
        <f t="shared" ref="AJ79:AJ88" si="10">AI79/AH79</f>
        <v>5.5984555984555984E-2</v>
      </c>
      <c r="AK79" s="230">
        <v>78</v>
      </c>
      <c r="AL79" s="240">
        <f t="shared" ref="AL79:AL88" si="11">AK79/AH79</f>
        <v>7.5289575289575292E-2</v>
      </c>
      <c r="AM79" s="230">
        <v>30</v>
      </c>
      <c r="AN79" s="230">
        <v>598</v>
      </c>
      <c r="AO79" s="230">
        <v>63</v>
      </c>
      <c r="AP79" s="240">
        <f t="shared" ref="AP79:AP88" si="12">AO79/AN79</f>
        <v>0.10535117056856187</v>
      </c>
      <c r="AQ79" s="230">
        <v>74</v>
      </c>
      <c r="AR79" s="240">
        <f t="shared" ref="AR79:AR88" si="13">AQ79/AN79</f>
        <v>0.12374581939799331</v>
      </c>
      <c r="AS79" s="230">
        <v>13</v>
      </c>
      <c r="AT79" s="230">
        <v>1405</v>
      </c>
      <c r="AU79" s="230">
        <v>80</v>
      </c>
      <c r="AV79" s="240">
        <f t="shared" ref="AV79:AV88" si="14">AU79/AT79</f>
        <v>5.6939501779359428E-2</v>
      </c>
      <c r="AW79" s="230">
        <v>105</v>
      </c>
      <c r="AX79" s="240">
        <f t="shared" ref="AX79:AX88" si="15">AW79/AT79</f>
        <v>7.4733096085409248E-2</v>
      </c>
      <c r="AY79" s="230">
        <v>44</v>
      </c>
      <c r="AZ79" s="230">
        <v>753</v>
      </c>
      <c r="BA79" s="230">
        <v>50</v>
      </c>
      <c r="BB79" s="240">
        <f t="shared" ref="BB79:BB88" si="16">BA79/AZ79</f>
        <v>6.6401062416998669E-2</v>
      </c>
      <c r="BC79" s="230">
        <v>51</v>
      </c>
      <c r="BD79" s="240">
        <f t="shared" ref="BD79:BD88" si="17">BC79/AZ79</f>
        <v>6.7729083665338641E-2</v>
      </c>
      <c r="BE79" s="230">
        <v>22</v>
      </c>
      <c r="BF79" s="230">
        <v>964</v>
      </c>
      <c r="BG79" s="230">
        <v>65</v>
      </c>
      <c r="BH79" s="240">
        <f t="shared" ref="BH79:BH88" si="18">BG79/BF79</f>
        <v>6.7427385892116179E-2</v>
      </c>
      <c r="BI79" s="230">
        <v>86</v>
      </c>
      <c r="BJ79" s="240">
        <f t="shared" ref="BJ79:BJ88" si="19">BI79/BF79</f>
        <v>8.9211618257261413E-2</v>
      </c>
      <c r="BK79" s="230">
        <v>28</v>
      </c>
      <c r="BL79" s="230">
        <v>390</v>
      </c>
      <c r="BM79" s="230">
        <v>26</v>
      </c>
      <c r="BN79" s="240">
        <f t="shared" ref="BN79:BN88" si="20">BM79/BL79</f>
        <v>6.6666666666666666E-2</v>
      </c>
      <c r="BO79" s="230">
        <v>33</v>
      </c>
      <c r="BP79" s="240">
        <f t="shared" ref="BP79:BP88" si="21">BO79/BL79</f>
        <v>8.461538461538462E-2</v>
      </c>
      <c r="BQ79" s="230">
        <v>6</v>
      </c>
      <c r="BR79" s="230">
        <v>1009</v>
      </c>
      <c r="BS79" s="230">
        <v>84</v>
      </c>
      <c r="BT79" s="240">
        <f t="shared" ref="BT79:BT88" si="22">BS79/BR79</f>
        <v>8.3250743310208125E-2</v>
      </c>
      <c r="BU79" s="230">
        <v>105</v>
      </c>
      <c r="BV79" s="240">
        <f t="shared" ref="BV79:BV88" si="23">BU79/BR79</f>
        <v>0.10406342913776016</v>
      </c>
      <c r="BW79" s="230">
        <v>24</v>
      </c>
      <c r="BX79" s="230">
        <v>1232</v>
      </c>
      <c r="BY79" s="230">
        <v>77</v>
      </c>
      <c r="BZ79" s="240">
        <f t="shared" ref="BZ79:BZ88" si="24">BY79/BX79</f>
        <v>6.25E-2</v>
      </c>
      <c r="CA79" s="230">
        <v>89</v>
      </c>
      <c r="CB79" s="240">
        <f t="shared" ref="CB79:CB88" si="25">CA79/BX79</f>
        <v>7.2240259740259744E-2</v>
      </c>
      <c r="CC79" s="230">
        <v>31</v>
      </c>
      <c r="CD79" s="230">
        <v>970</v>
      </c>
      <c r="CE79" s="230">
        <v>68</v>
      </c>
      <c r="CF79" s="240">
        <f t="shared" ref="CF79:CF88" si="26">CE79/CD79</f>
        <v>7.0103092783505155E-2</v>
      </c>
      <c r="CG79" s="230">
        <v>100</v>
      </c>
      <c r="CH79" s="240">
        <f t="shared" ref="CH79:CH88" si="27">CG79/CD79</f>
        <v>0.10309278350515463</v>
      </c>
      <c r="CI79" s="230">
        <v>30</v>
      </c>
      <c r="CJ79" s="230">
        <v>518</v>
      </c>
      <c r="CK79" s="230">
        <v>33</v>
      </c>
      <c r="CL79" s="240">
        <f t="shared" ref="CL79:CL88" si="28">CK79/CJ79</f>
        <v>6.3706563706563704E-2</v>
      </c>
      <c r="CM79" s="230">
        <v>52</v>
      </c>
      <c r="CN79" s="240">
        <f t="shared" ref="CN79:CN88" si="29">CM79/CJ79</f>
        <v>0.10038610038610038</v>
      </c>
      <c r="CO79" s="230">
        <v>10</v>
      </c>
      <c r="CP79" s="230">
        <v>776</v>
      </c>
      <c r="CQ79" s="230">
        <v>68</v>
      </c>
      <c r="CR79" s="240">
        <f t="shared" ref="CR79:CR88" si="30">CQ79/CP79</f>
        <v>8.7628865979381437E-2</v>
      </c>
      <c r="CS79" s="230">
        <v>80</v>
      </c>
      <c r="CT79" s="240">
        <f t="shared" ref="CT79:CT88" si="31">CS79/CP79</f>
        <v>0.10309278350515463</v>
      </c>
      <c r="CU79" s="230">
        <v>16</v>
      </c>
    </row>
    <row r="80" spans="1:99" ht="15" customHeight="1" x14ac:dyDescent="0.2">
      <c r="A80" s="204"/>
      <c r="B80" s="209"/>
      <c r="C80" s="210" t="s">
        <v>302</v>
      </c>
      <c r="D80" s="230">
        <v>13300</v>
      </c>
      <c r="E80" s="230">
        <v>817</v>
      </c>
      <c r="F80" s="240">
        <f t="shared" si="0"/>
        <v>6.142857142857143E-2</v>
      </c>
      <c r="G80" s="230">
        <v>979</v>
      </c>
      <c r="H80" s="240">
        <f t="shared" si="1"/>
        <v>7.3609022556390971E-2</v>
      </c>
      <c r="I80" s="230">
        <v>534</v>
      </c>
      <c r="J80" s="230">
        <v>168</v>
      </c>
      <c r="K80" s="230">
        <v>13</v>
      </c>
      <c r="L80" s="240">
        <f t="shared" si="2"/>
        <v>7.7380952380952384E-2</v>
      </c>
      <c r="M80" s="230">
        <v>25</v>
      </c>
      <c r="N80" s="240">
        <f t="shared" si="3"/>
        <v>0.14880952380952381</v>
      </c>
      <c r="O80" s="230">
        <v>5</v>
      </c>
      <c r="P80" s="230">
        <v>603</v>
      </c>
      <c r="Q80" s="230">
        <v>50</v>
      </c>
      <c r="R80" s="240">
        <f t="shared" si="4"/>
        <v>8.2918739635157543E-2</v>
      </c>
      <c r="S80" s="230">
        <v>56</v>
      </c>
      <c r="T80" s="240">
        <f t="shared" si="5"/>
        <v>9.2868988391376445E-2</v>
      </c>
      <c r="U80" s="230">
        <v>37</v>
      </c>
      <c r="V80" s="230">
        <v>660</v>
      </c>
      <c r="W80" s="230">
        <v>46</v>
      </c>
      <c r="X80" s="240">
        <f t="shared" si="6"/>
        <v>6.9696969696969702E-2</v>
      </c>
      <c r="Y80" s="230">
        <v>54</v>
      </c>
      <c r="Z80" s="240">
        <f t="shared" si="7"/>
        <v>8.1818181818181818E-2</v>
      </c>
      <c r="AA80" s="230">
        <v>26</v>
      </c>
      <c r="AB80" s="230">
        <v>336</v>
      </c>
      <c r="AC80" s="230">
        <v>18</v>
      </c>
      <c r="AD80" s="240">
        <f t="shared" si="8"/>
        <v>5.3571428571428568E-2</v>
      </c>
      <c r="AE80" s="230">
        <v>31</v>
      </c>
      <c r="AF80" s="240">
        <f t="shared" si="9"/>
        <v>9.2261904761904767E-2</v>
      </c>
      <c r="AG80" s="230">
        <v>20</v>
      </c>
      <c r="AH80" s="230">
        <v>608</v>
      </c>
      <c r="AI80" s="230">
        <v>41</v>
      </c>
      <c r="AJ80" s="240">
        <f t="shared" si="10"/>
        <v>6.7434210526315791E-2</v>
      </c>
      <c r="AK80" s="230">
        <v>36</v>
      </c>
      <c r="AL80" s="240">
        <f t="shared" si="11"/>
        <v>5.921052631578947E-2</v>
      </c>
      <c r="AM80" s="230">
        <v>23</v>
      </c>
      <c r="AN80" s="230">
        <v>961</v>
      </c>
      <c r="AO80" s="230">
        <v>64</v>
      </c>
      <c r="AP80" s="240">
        <f t="shared" si="12"/>
        <v>6.6597294484911557E-2</v>
      </c>
      <c r="AQ80" s="230">
        <v>70</v>
      </c>
      <c r="AR80" s="240">
        <f t="shared" si="13"/>
        <v>7.2840790842872011E-2</v>
      </c>
      <c r="AS80" s="230">
        <v>39</v>
      </c>
      <c r="AT80" s="230">
        <v>1077</v>
      </c>
      <c r="AU80" s="230">
        <v>51</v>
      </c>
      <c r="AV80" s="240">
        <f t="shared" si="14"/>
        <v>4.7353760445682451E-2</v>
      </c>
      <c r="AW80" s="230">
        <v>54</v>
      </c>
      <c r="AX80" s="240">
        <f t="shared" si="15"/>
        <v>5.0139275766016712E-2</v>
      </c>
      <c r="AY80" s="230">
        <v>45</v>
      </c>
      <c r="AZ80" s="230">
        <v>911</v>
      </c>
      <c r="BA80" s="230">
        <v>39</v>
      </c>
      <c r="BB80" s="240">
        <f t="shared" si="16"/>
        <v>4.2810098792535674E-2</v>
      </c>
      <c r="BC80" s="230">
        <v>47</v>
      </c>
      <c r="BD80" s="240">
        <f t="shared" si="17"/>
        <v>5.159165751920966E-2</v>
      </c>
      <c r="BE80" s="230">
        <v>39</v>
      </c>
      <c r="BF80" s="230">
        <v>1672</v>
      </c>
      <c r="BG80" s="230">
        <v>112</v>
      </c>
      <c r="BH80" s="240">
        <f t="shared" si="18"/>
        <v>6.6985645933014357E-2</v>
      </c>
      <c r="BI80" s="230">
        <v>146</v>
      </c>
      <c r="BJ80" s="240">
        <f t="shared" si="19"/>
        <v>8.7320574162679424E-2</v>
      </c>
      <c r="BK80" s="230">
        <v>86</v>
      </c>
      <c r="BL80" s="230">
        <v>631</v>
      </c>
      <c r="BM80" s="230">
        <v>31</v>
      </c>
      <c r="BN80" s="240">
        <f t="shared" si="20"/>
        <v>4.9128367670364499E-2</v>
      </c>
      <c r="BO80" s="230">
        <v>41</v>
      </c>
      <c r="BP80" s="240">
        <f t="shared" si="21"/>
        <v>6.4976228209191758E-2</v>
      </c>
      <c r="BQ80" s="230">
        <v>28</v>
      </c>
      <c r="BR80" s="230">
        <v>1236</v>
      </c>
      <c r="BS80" s="230">
        <v>64</v>
      </c>
      <c r="BT80" s="240">
        <f t="shared" si="22"/>
        <v>5.1779935275080909E-2</v>
      </c>
      <c r="BU80" s="230">
        <v>84</v>
      </c>
      <c r="BV80" s="240">
        <f t="shared" si="23"/>
        <v>6.7961165048543687E-2</v>
      </c>
      <c r="BW80" s="230">
        <v>37</v>
      </c>
      <c r="BX80" s="230">
        <v>1044</v>
      </c>
      <c r="BY80" s="230">
        <v>53</v>
      </c>
      <c r="BZ80" s="240">
        <f t="shared" si="24"/>
        <v>5.0766283524904213E-2</v>
      </c>
      <c r="CA80" s="230">
        <v>59</v>
      </c>
      <c r="CB80" s="240">
        <f t="shared" si="25"/>
        <v>5.6513409961685822E-2</v>
      </c>
      <c r="CC80" s="230">
        <v>37</v>
      </c>
      <c r="CD80" s="230">
        <v>1497</v>
      </c>
      <c r="CE80" s="230">
        <v>98</v>
      </c>
      <c r="CF80" s="240">
        <f t="shared" si="26"/>
        <v>6.5464261857047429E-2</v>
      </c>
      <c r="CG80" s="230">
        <v>119</v>
      </c>
      <c r="CH80" s="240">
        <f t="shared" si="27"/>
        <v>7.9492317969271878E-2</v>
      </c>
      <c r="CI80" s="230">
        <v>58</v>
      </c>
      <c r="CJ80" s="230">
        <v>604</v>
      </c>
      <c r="CK80" s="230">
        <v>38</v>
      </c>
      <c r="CL80" s="240">
        <f t="shared" si="28"/>
        <v>6.2913907284768214E-2</v>
      </c>
      <c r="CM80" s="230">
        <v>41</v>
      </c>
      <c r="CN80" s="240">
        <f t="shared" si="29"/>
        <v>6.7880794701986755E-2</v>
      </c>
      <c r="CO80" s="230">
        <v>17</v>
      </c>
      <c r="CP80" s="230">
        <v>1292</v>
      </c>
      <c r="CQ80" s="230">
        <v>99</v>
      </c>
      <c r="CR80" s="240">
        <f t="shared" si="30"/>
        <v>7.6625386996904021E-2</v>
      </c>
      <c r="CS80" s="230">
        <v>116</v>
      </c>
      <c r="CT80" s="240">
        <f t="shared" si="31"/>
        <v>8.9783281733746126E-2</v>
      </c>
      <c r="CU80" s="230">
        <v>37</v>
      </c>
    </row>
    <row r="81" spans="1:99" ht="15" customHeight="1" x14ac:dyDescent="0.2">
      <c r="A81" s="204"/>
      <c r="B81" s="209"/>
      <c r="C81" s="210" t="s">
        <v>303</v>
      </c>
      <c r="D81" s="230">
        <v>19188</v>
      </c>
      <c r="E81" s="230">
        <v>1405</v>
      </c>
      <c r="F81" s="240">
        <f t="shared" si="0"/>
        <v>7.3222847613091516E-2</v>
      </c>
      <c r="G81" s="230">
        <v>1695</v>
      </c>
      <c r="H81" s="240">
        <f t="shared" si="1"/>
        <v>8.8336460287679802E-2</v>
      </c>
      <c r="I81" s="230">
        <v>728</v>
      </c>
      <c r="J81" s="230">
        <v>567</v>
      </c>
      <c r="K81" s="230">
        <v>41</v>
      </c>
      <c r="L81" s="240">
        <f t="shared" si="2"/>
        <v>7.2310405643738973E-2</v>
      </c>
      <c r="M81" s="230">
        <v>60</v>
      </c>
      <c r="N81" s="240">
        <f t="shared" si="3"/>
        <v>0.10582010582010581</v>
      </c>
      <c r="O81" s="230">
        <v>19</v>
      </c>
      <c r="P81" s="230">
        <v>1159</v>
      </c>
      <c r="Q81" s="230">
        <v>123</v>
      </c>
      <c r="R81" s="240">
        <f t="shared" si="4"/>
        <v>0.10612597066436583</v>
      </c>
      <c r="S81" s="230">
        <v>102</v>
      </c>
      <c r="T81" s="240">
        <f t="shared" si="5"/>
        <v>8.8006902502157036E-2</v>
      </c>
      <c r="U81" s="230">
        <v>51</v>
      </c>
      <c r="V81" s="230">
        <v>1193</v>
      </c>
      <c r="W81" s="230">
        <v>91</v>
      </c>
      <c r="X81" s="240">
        <f t="shared" si="6"/>
        <v>7.6278290025146689E-2</v>
      </c>
      <c r="Y81" s="230">
        <v>117</v>
      </c>
      <c r="Z81" s="240">
        <f t="shared" si="7"/>
        <v>9.8072087175188602E-2</v>
      </c>
      <c r="AA81" s="230">
        <v>52</v>
      </c>
      <c r="AB81" s="230">
        <v>551</v>
      </c>
      <c r="AC81" s="230">
        <v>35</v>
      </c>
      <c r="AD81" s="240">
        <f t="shared" si="8"/>
        <v>6.3520871143375679E-2</v>
      </c>
      <c r="AE81" s="230">
        <v>51</v>
      </c>
      <c r="AF81" s="240">
        <f t="shared" si="9"/>
        <v>9.2558983666061703E-2</v>
      </c>
      <c r="AG81" s="230">
        <v>22</v>
      </c>
      <c r="AH81" s="230">
        <v>768</v>
      </c>
      <c r="AI81" s="230">
        <v>64</v>
      </c>
      <c r="AJ81" s="240">
        <f t="shared" si="10"/>
        <v>8.3333333333333329E-2</v>
      </c>
      <c r="AK81" s="230">
        <v>60</v>
      </c>
      <c r="AL81" s="240">
        <f t="shared" si="11"/>
        <v>7.8125E-2</v>
      </c>
      <c r="AM81" s="230">
        <v>27</v>
      </c>
      <c r="AN81" s="230">
        <v>1285</v>
      </c>
      <c r="AO81" s="230">
        <v>101</v>
      </c>
      <c r="AP81" s="240">
        <f t="shared" si="12"/>
        <v>7.8599221789883267E-2</v>
      </c>
      <c r="AQ81" s="230">
        <v>114</v>
      </c>
      <c r="AR81" s="240">
        <f t="shared" si="13"/>
        <v>8.8715953307393E-2</v>
      </c>
      <c r="AS81" s="230">
        <v>31</v>
      </c>
      <c r="AT81" s="230">
        <v>1340</v>
      </c>
      <c r="AU81" s="230">
        <v>87</v>
      </c>
      <c r="AV81" s="240">
        <f t="shared" si="14"/>
        <v>6.4925373134328362E-2</v>
      </c>
      <c r="AW81" s="230">
        <v>102</v>
      </c>
      <c r="AX81" s="240">
        <f t="shared" si="15"/>
        <v>7.6119402985074622E-2</v>
      </c>
      <c r="AY81" s="230">
        <v>44</v>
      </c>
      <c r="AZ81" s="230">
        <v>1457</v>
      </c>
      <c r="BA81" s="230">
        <v>91</v>
      </c>
      <c r="BB81" s="240">
        <f t="shared" si="16"/>
        <v>6.2457103637611533E-2</v>
      </c>
      <c r="BC81" s="230">
        <v>128</v>
      </c>
      <c r="BD81" s="240">
        <f t="shared" si="17"/>
        <v>8.7851750171585447E-2</v>
      </c>
      <c r="BE81" s="230">
        <v>61</v>
      </c>
      <c r="BF81" s="230">
        <v>2329</v>
      </c>
      <c r="BG81" s="230">
        <v>192</v>
      </c>
      <c r="BH81" s="240">
        <f t="shared" si="18"/>
        <v>8.2438814942035213E-2</v>
      </c>
      <c r="BI81" s="230">
        <v>204</v>
      </c>
      <c r="BJ81" s="240">
        <f t="shared" si="19"/>
        <v>8.7591240875912413E-2</v>
      </c>
      <c r="BK81" s="230">
        <v>84</v>
      </c>
      <c r="BL81" s="230">
        <v>717</v>
      </c>
      <c r="BM81" s="230">
        <v>34</v>
      </c>
      <c r="BN81" s="240">
        <f t="shared" si="20"/>
        <v>4.7419804741980473E-2</v>
      </c>
      <c r="BO81" s="230">
        <v>57</v>
      </c>
      <c r="BP81" s="240">
        <f t="shared" si="21"/>
        <v>7.9497907949790794E-2</v>
      </c>
      <c r="BQ81" s="230">
        <v>24</v>
      </c>
      <c r="BR81" s="230">
        <v>1607</v>
      </c>
      <c r="BS81" s="230">
        <v>110</v>
      </c>
      <c r="BT81" s="240">
        <f t="shared" si="22"/>
        <v>6.8450528935905419E-2</v>
      </c>
      <c r="BU81" s="230">
        <v>123</v>
      </c>
      <c r="BV81" s="240">
        <f t="shared" si="23"/>
        <v>7.6540136901057876E-2</v>
      </c>
      <c r="BW81" s="230">
        <v>64</v>
      </c>
      <c r="BX81" s="230">
        <v>1406</v>
      </c>
      <c r="BY81" s="230">
        <v>104</v>
      </c>
      <c r="BZ81" s="240">
        <f t="shared" si="24"/>
        <v>7.3968705547652919E-2</v>
      </c>
      <c r="CA81" s="230">
        <v>132</v>
      </c>
      <c r="CB81" s="240">
        <f t="shared" si="25"/>
        <v>9.388335704125178E-2</v>
      </c>
      <c r="CC81" s="230">
        <v>63</v>
      </c>
      <c r="CD81" s="230">
        <v>2072</v>
      </c>
      <c r="CE81" s="230">
        <v>145</v>
      </c>
      <c r="CF81" s="240">
        <f t="shared" si="26"/>
        <v>6.998069498069498E-2</v>
      </c>
      <c r="CG81" s="230">
        <v>190</v>
      </c>
      <c r="CH81" s="240">
        <f t="shared" si="27"/>
        <v>9.1698841698841696E-2</v>
      </c>
      <c r="CI81" s="230">
        <v>90</v>
      </c>
      <c r="CJ81" s="230">
        <v>740</v>
      </c>
      <c r="CK81" s="230">
        <v>62</v>
      </c>
      <c r="CL81" s="240">
        <f t="shared" si="28"/>
        <v>8.3783783783783788E-2</v>
      </c>
      <c r="CM81" s="230">
        <v>86</v>
      </c>
      <c r="CN81" s="240">
        <f t="shared" si="29"/>
        <v>0.11621621621621622</v>
      </c>
      <c r="CO81" s="230">
        <v>30</v>
      </c>
      <c r="CP81" s="230">
        <v>1997</v>
      </c>
      <c r="CQ81" s="230">
        <v>125</v>
      </c>
      <c r="CR81" s="240">
        <f t="shared" si="30"/>
        <v>6.2593890836254384E-2</v>
      </c>
      <c r="CS81" s="230">
        <v>169</v>
      </c>
      <c r="CT81" s="240">
        <f t="shared" si="31"/>
        <v>8.4626940410615928E-2</v>
      </c>
      <c r="CU81" s="230">
        <v>66</v>
      </c>
    </row>
    <row r="82" spans="1:99" ht="15" customHeight="1" x14ac:dyDescent="0.2">
      <c r="A82" s="204"/>
      <c r="B82" s="209"/>
      <c r="C82" s="210" t="s">
        <v>304</v>
      </c>
      <c r="D82" s="230">
        <v>3606</v>
      </c>
      <c r="E82" s="230">
        <v>321</v>
      </c>
      <c r="F82" s="240">
        <f t="shared" si="0"/>
        <v>8.9018302828618973E-2</v>
      </c>
      <c r="G82" s="230">
        <v>380</v>
      </c>
      <c r="H82" s="240">
        <f t="shared" si="1"/>
        <v>0.10537992235163617</v>
      </c>
      <c r="I82" s="230">
        <v>137</v>
      </c>
      <c r="J82" s="230">
        <v>86</v>
      </c>
      <c r="K82" s="230">
        <v>3</v>
      </c>
      <c r="L82" s="240">
        <f t="shared" si="2"/>
        <v>3.4883720930232558E-2</v>
      </c>
      <c r="M82" s="230">
        <v>8</v>
      </c>
      <c r="N82" s="240">
        <f t="shared" si="3"/>
        <v>9.3023255813953487E-2</v>
      </c>
      <c r="O82" s="230">
        <v>3</v>
      </c>
      <c r="P82" s="230">
        <v>302</v>
      </c>
      <c r="Q82" s="230">
        <v>51</v>
      </c>
      <c r="R82" s="240">
        <f t="shared" si="4"/>
        <v>0.16887417218543047</v>
      </c>
      <c r="S82" s="230">
        <v>44</v>
      </c>
      <c r="T82" s="240">
        <f t="shared" si="5"/>
        <v>0.14569536423841059</v>
      </c>
      <c r="U82" s="230">
        <v>15</v>
      </c>
      <c r="V82" s="230">
        <v>365</v>
      </c>
      <c r="W82" s="230">
        <v>42</v>
      </c>
      <c r="X82" s="240">
        <f t="shared" si="6"/>
        <v>0.11506849315068493</v>
      </c>
      <c r="Y82" s="230">
        <v>32</v>
      </c>
      <c r="Z82" s="240">
        <f t="shared" si="7"/>
        <v>8.7671232876712329E-2</v>
      </c>
      <c r="AA82" s="230">
        <v>6</v>
      </c>
      <c r="AB82" s="230">
        <v>105</v>
      </c>
      <c r="AC82" s="230">
        <v>10</v>
      </c>
      <c r="AD82" s="240">
        <f t="shared" si="8"/>
        <v>9.5238095238095233E-2</v>
      </c>
      <c r="AE82" s="230">
        <v>13</v>
      </c>
      <c r="AF82" s="240">
        <f t="shared" si="9"/>
        <v>0.12380952380952381</v>
      </c>
      <c r="AG82" s="230">
        <v>6</v>
      </c>
      <c r="AH82" s="230">
        <v>150</v>
      </c>
      <c r="AI82" s="230">
        <v>7</v>
      </c>
      <c r="AJ82" s="240">
        <f t="shared" si="10"/>
        <v>4.6666666666666669E-2</v>
      </c>
      <c r="AK82" s="230">
        <v>14</v>
      </c>
      <c r="AL82" s="240">
        <f t="shared" si="11"/>
        <v>9.3333333333333338E-2</v>
      </c>
      <c r="AM82" s="230">
        <v>6</v>
      </c>
      <c r="AN82" s="230">
        <v>236</v>
      </c>
      <c r="AO82" s="230">
        <v>21</v>
      </c>
      <c r="AP82" s="240">
        <f t="shared" si="12"/>
        <v>8.8983050847457626E-2</v>
      </c>
      <c r="AQ82" s="230">
        <v>22</v>
      </c>
      <c r="AR82" s="240">
        <f t="shared" si="13"/>
        <v>9.3220338983050849E-2</v>
      </c>
      <c r="AS82" s="230">
        <v>8</v>
      </c>
      <c r="AT82" s="230">
        <v>166</v>
      </c>
      <c r="AU82" s="230">
        <v>4</v>
      </c>
      <c r="AV82" s="240">
        <f t="shared" si="14"/>
        <v>2.4096385542168676E-2</v>
      </c>
      <c r="AW82" s="230">
        <v>8</v>
      </c>
      <c r="AX82" s="240">
        <f t="shared" si="15"/>
        <v>4.8192771084337352E-2</v>
      </c>
      <c r="AY82" s="230" t="s">
        <v>305</v>
      </c>
      <c r="AZ82" s="230">
        <v>202</v>
      </c>
      <c r="BA82" s="230">
        <v>12</v>
      </c>
      <c r="BB82" s="240">
        <f t="shared" si="16"/>
        <v>5.9405940594059403E-2</v>
      </c>
      <c r="BC82" s="230">
        <v>25</v>
      </c>
      <c r="BD82" s="240">
        <f t="shared" si="17"/>
        <v>0.12376237623762376</v>
      </c>
      <c r="BE82" s="230">
        <v>9</v>
      </c>
      <c r="BF82" s="230">
        <v>460</v>
      </c>
      <c r="BG82" s="230">
        <v>50</v>
      </c>
      <c r="BH82" s="240">
        <f t="shared" si="18"/>
        <v>0.10869565217391304</v>
      </c>
      <c r="BI82" s="230">
        <v>52</v>
      </c>
      <c r="BJ82" s="240">
        <f t="shared" si="19"/>
        <v>0.11304347826086956</v>
      </c>
      <c r="BK82" s="230">
        <v>19</v>
      </c>
      <c r="BL82" s="230">
        <v>123</v>
      </c>
      <c r="BM82" s="230">
        <v>7</v>
      </c>
      <c r="BN82" s="240">
        <f t="shared" si="20"/>
        <v>5.6910569105691054E-2</v>
      </c>
      <c r="BO82" s="230">
        <v>7</v>
      </c>
      <c r="BP82" s="240">
        <f t="shared" si="21"/>
        <v>5.6910569105691054E-2</v>
      </c>
      <c r="BQ82" s="230">
        <v>6</v>
      </c>
      <c r="BR82" s="230">
        <v>260</v>
      </c>
      <c r="BS82" s="230">
        <v>26</v>
      </c>
      <c r="BT82" s="240">
        <f t="shared" si="22"/>
        <v>0.1</v>
      </c>
      <c r="BU82" s="230">
        <v>33</v>
      </c>
      <c r="BV82" s="240">
        <f t="shared" si="23"/>
        <v>0.12692307692307692</v>
      </c>
      <c r="BW82" s="230">
        <v>9</v>
      </c>
      <c r="BX82" s="230">
        <v>243</v>
      </c>
      <c r="BY82" s="230">
        <v>13</v>
      </c>
      <c r="BZ82" s="240">
        <f t="shared" si="24"/>
        <v>5.3497942386831275E-2</v>
      </c>
      <c r="CA82" s="230">
        <v>24</v>
      </c>
      <c r="CB82" s="240">
        <f t="shared" si="25"/>
        <v>9.8765432098765427E-2</v>
      </c>
      <c r="CC82" s="230">
        <v>6</v>
      </c>
      <c r="CD82" s="230">
        <v>375</v>
      </c>
      <c r="CE82" s="230">
        <v>36</v>
      </c>
      <c r="CF82" s="240">
        <f t="shared" si="26"/>
        <v>9.6000000000000002E-2</v>
      </c>
      <c r="CG82" s="230">
        <v>43</v>
      </c>
      <c r="CH82" s="240">
        <f t="shared" si="27"/>
        <v>0.11466666666666667</v>
      </c>
      <c r="CI82" s="230">
        <v>19</v>
      </c>
      <c r="CJ82" s="230">
        <v>163</v>
      </c>
      <c r="CK82" s="230">
        <v>14</v>
      </c>
      <c r="CL82" s="240">
        <f t="shared" si="28"/>
        <v>8.5889570552147243E-2</v>
      </c>
      <c r="CM82" s="230">
        <v>18</v>
      </c>
      <c r="CN82" s="240">
        <f t="shared" si="29"/>
        <v>0.11042944785276074</v>
      </c>
      <c r="CO82" s="230">
        <v>6</v>
      </c>
      <c r="CP82" s="230">
        <v>370</v>
      </c>
      <c r="CQ82" s="230">
        <v>25</v>
      </c>
      <c r="CR82" s="240">
        <f t="shared" si="30"/>
        <v>6.7567567567567571E-2</v>
      </c>
      <c r="CS82" s="230">
        <v>37</v>
      </c>
      <c r="CT82" s="240">
        <f t="shared" si="31"/>
        <v>0.1</v>
      </c>
      <c r="CU82" s="230">
        <v>19</v>
      </c>
    </row>
    <row r="83" spans="1:99" ht="15" customHeight="1" x14ac:dyDescent="0.2">
      <c r="A83" s="204"/>
      <c r="B83" s="209"/>
      <c r="C83" s="210" t="s">
        <v>306</v>
      </c>
      <c r="D83" s="230">
        <v>9715</v>
      </c>
      <c r="E83" s="230">
        <v>1039</v>
      </c>
      <c r="F83" s="240">
        <f t="shared" si="0"/>
        <v>0.1069480185280494</v>
      </c>
      <c r="G83" s="230">
        <v>965</v>
      </c>
      <c r="H83" s="240">
        <f t="shared" si="1"/>
        <v>9.9330931549150792E-2</v>
      </c>
      <c r="I83" s="230">
        <v>443</v>
      </c>
      <c r="J83" s="230">
        <v>277</v>
      </c>
      <c r="K83" s="230">
        <v>34</v>
      </c>
      <c r="L83" s="240">
        <f t="shared" si="2"/>
        <v>0.12274368231046931</v>
      </c>
      <c r="M83" s="230">
        <v>32</v>
      </c>
      <c r="N83" s="240">
        <f t="shared" si="3"/>
        <v>0.11552346570397112</v>
      </c>
      <c r="O83" s="230">
        <v>13</v>
      </c>
      <c r="P83" s="230">
        <v>611</v>
      </c>
      <c r="Q83" s="230">
        <v>72</v>
      </c>
      <c r="R83" s="240">
        <f t="shared" si="4"/>
        <v>0.11783960720130933</v>
      </c>
      <c r="S83" s="230">
        <v>63</v>
      </c>
      <c r="T83" s="240">
        <f t="shared" si="5"/>
        <v>0.10310965630114566</v>
      </c>
      <c r="U83" s="230">
        <v>27</v>
      </c>
      <c r="V83" s="230">
        <v>663</v>
      </c>
      <c r="W83" s="230">
        <v>66</v>
      </c>
      <c r="X83" s="240">
        <f t="shared" si="6"/>
        <v>9.9547511312217188E-2</v>
      </c>
      <c r="Y83" s="230">
        <v>63</v>
      </c>
      <c r="Z83" s="240">
        <f t="shared" si="7"/>
        <v>9.5022624434389136E-2</v>
      </c>
      <c r="AA83" s="230">
        <v>31</v>
      </c>
      <c r="AB83" s="230">
        <v>183</v>
      </c>
      <c r="AC83" s="230">
        <v>31</v>
      </c>
      <c r="AD83" s="240">
        <f t="shared" si="8"/>
        <v>0.16939890710382513</v>
      </c>
      <c r="AE83" s="230">
        <v>27</v>
      </c>
      <c r="AF83" s="240">
        <f t="shared" si="9"/>
        <v>0.14754098360655737</v>
      </c>
      <c r="AG83" s="230">
        <v>9</v>
      </c>
      <c r="AH83" s="230">
        <v>613</v>
      </c>
      <c r="AI83" s="230">
        <v>68</v>
      </c>
      <c r="AJ83" s="240">
        <f t="shared" si="10"/>
        <v>0.11092985318107668</v>
      </c>
      <c r="AK83" s="230">
        <v>58</v>
      </c>
      <c r="AL83" s="240">
        <f t="shared" si="11"/>
        <v>9.461663947797716E-2</v>
      </c>
      <c r="AM83" s="230">
        <v>30</v>
      </c>
      <c r="AN83" s="230">
        <v>428</v>
      </c>
      <c r="AO83" s="230">
        <v>54</v>
      </c>
      <c r="AP83" s="240">
        <f t="shared" si="12"/>
        <v>0.12616822429906541</v>
      </c>
      <c r="AQ83" s="230">
        <v>49</v>
      </c>
      <c r="AR83" s="240">
        <f t="shared" si="13"/>
        <v>0.11448598130841121</v>
      </c>
      <c r="AS83" s="230">
        <v>14</v>
      </c>
      <c r="AT83" s="230">
        <v>1751</v>
      </c>
      <c r="AU83" s="230">
        <v>160</v>
      </c>
      <c r="AV83" s="240">
        <f t="shared" si="14"/>
        <v>9.1376356367789832E-2</v>
      </c>
      <c r="AW83" s="230">
        <v>169</v>
      </c>
      <c r="AX83" s="240">
        <f t="shared" si="15"/>
        <v>9.6516276413478014E-2</v>
      </c>
      <c r="AY83" s="230">
        <v>71</v>
      </c>
      <c r="AZ83" s="230">
        <v>1438</v>
      </c>
      <c r="BA83" s="230">
        <v>121</v>
      </c>
      <c r="BB83" s="240">
        <f t="shared" si="16"/>
        <v>8.4144645340751043E-2</v>
      </c>
      <c r="BC83" s="230">
        <v>134</v>
      </c>
      <c r="BD83" s="240">
        <f t="shared" si="17"/>
        <v>9.3184979137691235E-2</v>
      </c>
      <c r="BE83" s="230">
        <v>73</v>
      </c>
      <c r="BF83" s="230">
        <v>684</v>
      </c>
      <c r="BG83" s="230">
        <v>84</v>
      </c>
      <c r="BH83" s="240">
        <f t="shared" si="18"/>
        <v>0.12280701754385964</v>
      </c>
      <c r="BI83" s="230">
        <v>81</v>
      </c>
      <c r="BJ83" s="240">
        <f t="shared" si="19"/>
        <v>0.11842105263157894</v>
      </c>
      <c r="BK83" s="230">
        <v>25</v>
      </c>
      <c r="BL83" s="230">
        <v>451</v>
      </c>
      <c r="BM83" s="230">
        <v>36</v>
      </c>
      <c r="BN83" s="240">
        <f t="shared" si="20"/>
        <v>7.9822616407982258E-2</v>
      </c>
      <c r="BO83" s="230">
        <v>43</v>
      </c>
      <c r="BP83" s="240">
        <f t="shared" si="21"/>
        <v>9.5343680709534362E-2</v>
      </c>
      <c r="BQ83" s="230">
        <v>19</v>
      </c>
      <c r="BR83" s="230">
        <v>667</v>
      </c>
      <c r="BS83" s="230">
        <v>85</v>
      </c>
      <c r="BT83" s="240">
        <f t="shared" si="22"/>
        <v>0.12743628185907047</v>
      </c>
      <c r="BU83" s="230">
        <v>47</v>
      </c>
      <c r="BV83" s="240">
        <f t="shared" si="23"/>
        <v>7.0464767616191901E-2</v>
      </c>
      <c r="BW83" s="230">
        <v>40</v>
      </c>
      <c r="BX83" s="230">
        <v>583</v>
      </c>
      <c r="BY83" s="230">
        <v>59</v>
      </c>
      <c r="BZ83" s="240">
        <f t="shared" si="24"/>
        <v>0.10120068610634649</v>
      </c>
      <c r="CA83" s="230">
        <v>60</v>
      </c>
      <c r="CB83" s="240">
        <f t="shared" si="25"/>
        <v>0.10291595197255575</v>
      </c>
      <c r="CC83" s="230">
        <v>22</v>
      </c>
      <c r="CD83" s="230">
        <v>619</v>
      </c>
      <c r="CE83" s="230">
        <v>80</v>
      </c>
      <c r="CF83" s="240">
        <f t="shared" si="26"/>
        <v>0.12924071082390953</v>
      </c>
      <c r="CG83" s="230">
        <v>69</v>
      </c>
      <c r="CH83" s="240">
        <f t="shared" si="27"/>
        <v>0.11147011308562198</v>
      </c>
      <c r="CI83" s="230">
        <v>26</v>
      </c>
      <c r="CJ83" s="230">
        <v>286</v>
      </c>
      <c r="CK83" s="230">
        <v>31</v>
      </c>
      <c r="CL83" s="240">
        <f t="shared" si="28"/>
        <v>0.10839160839160839</v>
      </c>
      <c r="CM83" s="230">
        <v>34</v>
      </c>
      <c r="CN83" s="240">
        <f t="shared" si="29"/>
        <v>0.11888111888111888</v>
      </c>
      <c r="CO83" s="230">
        <v>16</v>
      </c>
      <c r="CP83" s="230">
        <v>461</v>
      </c>
      <c r="CQ83" s="230">
        <v>58</v>
      </c>
      <c r="CR83" s="240">
        <f t="shared" si="30"/>
        <v>0.12581344902386118</v>
      </c>
      <c r="CS83" s="230">
        <v>36</v>
      </c>
      <c r="CT83" s="240">
        <f t="shared" si="31"/>
        <v>7.8091106290672452E-2</v>
      </c>
      <c r="CU83" s="230">
        <v>27</v>
      </c>
    </row>
    <row r="84" spans="1:99" ht="15" customHeight="1" x14ac:dyDescent="0.2">
      <c r="A84" s="204"/>
      <c r="B84" s="209"/>
      <c r="C84" s="210" t="s">
        <v>307</v>
      </c>
      <c r="D84" s="230">
        <v>3902</v>
      </c>
      <c r="E84" s="230">
        <v>474</v>
      </c>
      <c r="F84" s="240">
        <f t="shared" si="0"/>
        <v>0.12147616606868272</v>
      </c>
      <c r="G84" s="230">
        <v>458</v>
      </c>
      <c r="H84" s="240">
        <f t="shared" si="1"/>
        <v>0.11737570476678626</v>
      </c>
      <c r="I84" s="230">
        <v>212</v>
      </c>
      <c r="J84" s="230">
        <v>147</v>
      </c>
      <c r="K84" s="230">
        <v>19</v>
      </c>
      <c r="L84" s="240">
        <f t="shared" si="2"/>
        <v>0.12925170068027211</v>
      </c>
      <c r="M84" s="230">
        <v>14</v>
      </c>
      <c r="N84" s="240">
        <f t="shared" si="3"/>
        <v>9.5238095238095233E-2</v>
      </c>
      <c r="O84" s="230">
        <v>17</v>
      </c>
      <c r="P84" s="230">
        <v>405</v>
      </c>
      <c r="Q84" s="230">
        <v>45</v>
      </c>
      <c r="R84" s="240">
        <f t="shared" si="4"/>
        <v>0.1111111111111111</v>
      </c>
      <c r="S84" s="230">
        <v>39</v>
      </c>
      <c r="T84" s="240">
        <f t="shared" si="5"/>
        <v>9.6296296296296297E-2</v>
      </c>
      <c r="U84" s="230">
        <v>24</v>
      </c>
      <c r="V84" s="230">
        <v>292</v>
      </c>
      <c r="W84" s="230">
        <v>33</v>
      </c>
      <c r="X84" s="240">
        <f t="shared" si="6"/>
        <v>0.11301369863013698</v>
      </c>
      <c r="Y84" s="230">
        <v>18</v>
      </c>
      <c r="Z84" s="240">
        <f t="shared" si="7"/>
        <v>6.1643835616438353E-2</v>
      </c>
      <c r="AA84" s="230">
        <v>15</v>
      </c>
      <c r="AB84" s="230">
        <v>81</v>
      </c>
      <c r="AC84" s="230">
        <v>8</v>
      </c>
      <c r="AD84" s="240">
        <f t="shared" si="8"/>
        <v>9.8765432098765427E-2</v>
      </c>
      <c r="AE84" s="230">
        <v>14</v>
      </c>
      <c r="AF84" s="240">
        <f t="shared" si="9"/>
        <v>0.1728395061728395</v>
      </c>
      <c r="AG84" s="230">
        <v>3</v>
      </c>
      <c r="AH84" s="230">
        <v>89</v>
      </c>
      <c r="AI84" s="230">
        <v>17</v>
      </c>
      <c r="AJ84" s="240">
        <f t="shared" si="10"/>
        <v>0.19101123595505617</v>
      </c>
      <c r="AK84" s="230">
        <v>16</v>
      </c>
      <c r="AL84" s="240">
        <f t="shared" si="11"/>
        <v>0.1797752808988764</v>
      </c>
      <c r="AM84" s="230">
        <v>1</v>
      </c>
      <c r="AN84" s="230">
        <v>287</v>
      </c>
      <c r="AO84" s="230">
        <v>28</v>
      </c>
      <c r="AP84" s="240">
        <f t="shared" si="12"/>
        <v>9.7560975609756101E-2</v>
      </c>
      <c r="AQ84" s="230">
        <v>27</v>
      </c>
      <c r="AR84" s="240">
        <f t="shared" si="13"/>
        <v>9.4076655052264813E-2</v>
      </c>
      <c r="AS84" s="230">
        <v>16</v>
      </c>
      <c r="AT84" s="230">
        <v>150</v>
      </c>
      <c r="AU84" s="230">
        <v>22</v>
      </c>
      <c r="AV84" s="240">
        <f t="shared" si="14"/>
        <v>0.14666666666666667</v>
      </c>
      <c r="AW84" s="230">
        <v>26</v>
      </c>
      <c r="AX84" s="240">
        <f t="shared" si="15"/>
        <v>0.17333333333333334</v>
      </c>
      <c r="AY84" s="230">
        <v>11</v>
      </c>
      <c r="AZ84" s="230">
        <v>195</v>
      </c>
      <c r="BA84" s="230">
        <v>26</v>
      </c>
      <c r="BB84" s="240">
        <f t="shared" si="16"/>
        <v>0.13333333333333333</v>
      </c>
      <c r="BC84" s="230">
        <v>28</v>
      </c>
      <c r="BD84" s="240">
        <f t="shared" si="17"/>
        <v>0.14358974358974358</v>
      </c>
      <c r="BE84" s="230">
        <v>13</v>
      </c>
      <c r="BF84" s="230">
        <v>525</v>
      </c>
      <c r="BG84" s="230">
        <v>74</v>
      </c>
      <c r="BH84" s="240">
        <f t="shared" si="18"/>
        <v>0.14095238095238094</v>
      </c>
      <c r="BI84" s="230">
        <v>70</v>
      </c>
      <c r="BJ84" s="240">
        <f t="shared" si="19"/>
        <v>0.13333333333333333</v>
      </c>
      <c r="BK84" s="230">
        <v>25</v>
      </c>
      <c r="BL84" s="230">
        <v>161</v>
      </c>
      <c r="BM84" s="230">
        <v>21</v>
      </c>
      <c r="BN84" s="240">
        <f t="shared" si="20"/>
        <v>0.13043478260869565</v>
      </c>
      <c r="BO84" s="230">
        <v>19</v>
      </c>
      <c r="BP84" s="240">
        <f t="shared" si="21"/>
        <v>0.11801242236024845</v>
      </c>
      <c r="BQ84" s="230">
        <v>7</v>
      </c>
      <c r="BR84" s="230">
        <v>302</v>
      </c>
      <c r="BS84" s="230">
        <v>35</v>
      </c>
      <c r="BT84" s="240">
        <f t="shared" si="22"/>
        <v>0.11589403973509933</v>
      </c>
      <c r="BU84" s="230">
        <v>28</v>
      </c>
      <c r="BV84" s="240">
        <f t="shared" si="23"/>
        <v>9.2715231788079472E-2</v>
      </c>
      <c r="BW84" s="230">
        <v>15</v>
      </c>
      <c r="BX84" s="230">
        <v>234</v>
      </c>
      <c r="BY84" s="230">
        <v>32</v>
      </c>
      <c r="BZ84" s="240">
        <f t="shared" si="24"/>
        <v>0.13675213675213677</v>
      </c>
      <c r="CA84" s="230">
        <v>30</v>
      </c>
      <c r="CB84" s="240">
        <f t="shared" si="25"/>
        <v>0.12820512820512819</v>
      </c>
      <c r="CC84" s="230">
        <v>9</v>
      </c>
      <c r="CD84" s="230">
        <v>431</v>
      </c>
      <c r="CE84" s="230">
        <v>53</v>
      </c>
      <c r="CF84" s="240">
        <f t="shared" si="26"/>
        <v>0.12296983758700696</v>
      </c>
      <c r="CG84" s="230">
        <v>63</v>
      </c>
      <c r="CH84" s="240">
        <f t="shared" si="27"/>
        <v>0.14617169373549885</v>
      </c>
      <c r="CI84" s="230">
        <v>23</v>
      </c>
      <c r="CJ84" s="230">
        <v>148</v>
      </c>
      <c r="CK84" s="230">
        <v>13</v>
      </c>
      <c r="CL84" s="240">
        <f t="shared" si="28"/>
        <v>8.7837837837837843E-2</v>
      </c>
      <c r="CM84" s="230">
        <v>20</v>
      </c>
      <c r="CN84" s="240">
        <f t="shared" si="29"/>
        <v>0.13513513513513514</v>
      </c>
      <c r="CO84" s="230">
        <v>6</v>
      </c>
      <c r="CP84" s="230">
        <v>455</v>
      </c>
      <c r="CQ84" s="230">
        <v>48</v>
      </c>
      <c r="CR84" s="240">
        <f t="shared" si="30"/>
        <v>0.10549450549450549</v>
      </c>
      <c r="CS84" s="230">
        <v>46</v>
      </c>
      <c r="CT84" s="240">
        <f t="shared" si="31"/>
        <v>0.1010989010989011</v>
      </c>
      <c r="CU84" s="230">
        <v>27</v>
      </c>
    </row>
    <row r="85" spans="1:99" ht="15" customHeight="1" x14ac:dyDescent="0.2">
      <c r="A85" s="204"/>
      <c r="B85" s="209"/>
      <c r="C85" s="210" t="s">
        <v>308</v>
      </c>
      <c r="D85" s="230">
        <v>8975</v>
      </c>
      <c r="E85" s="230">
        <v>569</v>
      </c>
      <c r="F85" s="240">
        <f t="shared" si="0"/>
        <v>6.3398328690807804E-2</v>
      </c>
      <c r="G85" s="230">
        <v>644</v>
      </c>
      <c r="H85" s="240">
        <f t="shared" si="1"/>
        <v>7.1754874651810588E-2</v>
      </c>
      <c r="I85" s="230">
        <v>463</v>
      </c>
      <c r="J85" s="230">
        <v>313</v>
      </c>
      <c r="K85" s="230">
        <v>13</v>
      </c>
      <c r="L85" s="240">
        <f t="shared" si="2"/>
        <v>4.1533546325878593E-2</v>
      </c>
      <c r="M85" s="230">
        <v>19</v>
      </c>
      <c r="N85" s="240">
        <f t="shared" si="3"/>
        <v>6.070287539936102E-2</v>
      </c>
      <c r="O85" s="230">
        <v>23</v>
      </c>
      <c r="P85" s="230">
        <v>716</v>
      </c>
      <c r="Q85" s="230">
        <v>34</v>
      </c>
      <c r="R85" s="240">
        <f t="shared" si="4"/>
        <v>4.7486033519553071E-2</v>
      </c>
      <c r="S85" s="230">
        <v>54</v>
      </c>
      <c r="T85" s="240">
        <f t="shared" si="5"/>
        <v>7.5418994413407825E-2</v>
      </c>
      <c r="U85" s="230">
        <v>46</v>
      </c>
      <c r="V85" s="230">
        <v>564</v>
      </c>
      <c r="W85" s="230">
        <v>28</v>
      </c>
      <c r="X85" s="240">
        <f t="shared" si="6"/>
        <v>4.9645390070921988E-2</v>
      </c>
      <c r="Y85" s="230">
        <v>24</v>
      </c>
      <c r="Z85" s="240">
        <f t="shared" si="7"/>
        <v>4.2553191489361701E-2</v>
      </c>
      <c r="AA85" s="230">
        <v>27</v>
      </c>
      <c r="AB85" s="230">
        <v>214</v>
      </c>
      <c r="AC85" s="230">
        <v>13</v>
      </c>
      <c r="AD85" s="240">
        <f t="shared" si="8"/>
        <v>6.0747663551401869E-2</v>
      </c>
      <c r="AE85" s="230">
        <v>15</v>
      </c>
      <c r="AF85" s="240">
        <f t="shared" si="9"/>
        <v>7.0093457943925228E-2</v>
      </c>
      <c r="AG85" s="230">
        <v>5</v>
      </c>
      <c r="AH85" s="230">
        <v>333</v>
      </c>
      <c r="AI85" s="230">
        <v>18</v>
      </c>
      <c r="AJ85" s="240">
        <f t="shared" si="10"/>
        <v>5.4054054054054057E-2</v>
      </c>
      <c r="AK85" s="230">
        <v>20</v>
      </c>
      <c r="AL85" s="240">
        <f t="shared" si="11"/>
        <v>6.006006006006006E-2</v>
      </c>
      <c r="AM85" s="230">
        <v>18</v>
      </c>
      <c r="AN85" s="230">
        <v>538</v>
      </c>
      <c r="AO85" s="230">
        <v>47</v>
      </c>
      <c r="AP85" s="240">
        <f t="shared" si="12"/>
        <v>8.7360594795539037E-2</v>
      </c>
      <c r="AQ85" s="230">
        <v>36</v>
      </c>
      <c r="AR85" s="240">
        <f t="shared" si="13"/>
        <v>6.6914498141263934E-2</v>
      </c>
      <c r="AS85" s="230">
        <v>25</v>
      </c>
      <c r="AT85" s="230">
        <v>754</v>
      </c>
      <c r="AU85" s="230">
        <v>56</v>
      </c>
      <c r="AV85" s="240">
        <f t="shared" si="14"/>
        <v>7.4270557029177717E-2</v>
      </c>
      <c r="AW85" s="230">
        <v>57</v>
      </c>
      <c r="AX85" s="240">
        <f t="shared" si="15"/>
        <v>7.5596816976127315E-2</v>
      </c>
      <c r="AY85" s="230">
        <v>28</v>
      </c>
      <c r="AZ85" s="230">
        <v>825</v>
      </c>
      <c r="BA85" s="230">
        <v>36</v>
      </c>
      <c r="BB85" s="240">
        <f t="shared" si="16"/>
        <v>4.363636363636364E-2</v>
      </c>
      <c r="BC85" s="230">
        <v>71</v>
      </c>
      <c r="BD85" s="240">
        <f t="shared" si="17"/>
        <v>8.606060606060606E-2</v>
      </c>
      <c r="BE85" s="230">
        <v>54</v>
      </c>
      <c r="BF85" s="230">
        <v>925</v>
      </c>
      <c r="BG85" s="230">
        <v>58</v>
      </c>
      <c r="BH85" s="240">
        <f t="shared" si="18"/>
        <v>6.2702702702702701E-2</v>
      </c>
      <c r="BI85" s="230">
        <v>58</v>
      </c>
      <c r="BJ85" s="240">
        <f t="shared" si="19"/>
        <v>6.2702702702702701E-2</v>
      </c>
      <c r="BK85" s="230">
        <v>42</v>
      </c>
      <c r="BL85" s="230">
        <v>359</v>
      </c>
      <c r="BM85" s="230">
        <v>32</v>
      </c>
      <c r="BN85" s="240">
        <f t="shared" si="20"/>
        <v>8.9136490250696379E-2</v>
      </c>
      <c r="BO85" s="230">
        <v>28</v>
      </c>
      <c r="BP85" s="240">
        <f t="shared" si="21"/>
        <v>7.7994428969359333E-2</v>
      </c>
      <c r="BQ85" s="230">
        <v>21</v>
      </c>
      <c r="BR85" s="230">
        <v>807</v>
      </c>
      <c r="BS85" s="230">
        <v>56</v>
      </c>
      <c r="BT85" s="240">
        <f t="shared" si="22"/>
        <v>6.9392812887236685E-2</v>
      </c>
      <c r="BU85" s="230">
        <v>50</v>
      </c>
      <c r="BV85" s="240">
        <f t="shared" si="23"/>
        <v>6.1957868649318466E-2</v>
      </c>
      <c r="BW85" s="230">
        <v>49</v>
      </c>
      <c r="BX85" s="230">
        <v>534</v>
      </c>
      <c r="BY85" s="230">
        <v>38</v>
      </c>
      <c r="BZ85" s="240">
        <f t="shared" si="24"/>
        <v>7.116104868913857E-2</v>
      </c>
      <c r="CA85" s="230">
        <v>46</v>
      </c>
      <c r="CB85" s="240">
        <f t="shared" si="25"/>
        <v>8.6142322097378279E-2</v>
      </c>
      <c r="CC85" s="230">
        <v>23</v>
      </c>
      <c r="CD85" s="230">
        <v>823</v>
      </c>
      <c r="CE85" s="230">
        <v>53</v>
      </c>
      <c r="CF85" s="240">
        <f t="shared" si="26"/>
        <v>6.4398541919805583E-2</v>
      </c>
      <c r="CG85" s="230">
        <v>56</v>
      </c>
      <c r="CH85" s="240">
        <f t="shared" si="27"/>
        <v>6.8043742405832316E-2</v>
      </c>
      <c r="CI85" s="230">
        <v>36</v>
      </c>
      <c r="CJ85" s="230">
        <v>380</v>
      </c>
      <c r="CK85" s="230">
        <v>25</v>
      </c>
      <c r="CL85" s="240">
        <f t="shared" si="28"/>
        <v>6.5789473684210523E-2</v>
      </c>
      <c r="CM85" s="230">
        <v>32</v>
      </c>
      <c r="CN85" s="240">
        <f t="shared" si="29"/>
        <v>8.4210526315789472E-2</v>
      </c>
      <c r="CO85" s="230">
        <v>17</v>
      </c>
      <c r="CP85" s="230">
        <v>890</v>
      </c>
      <c r="CQ85" s="230">
        <v>62</v>
      </c>
      <c r="CR85" s="240">
        <f t="shared" si="30"/>
        <v>6.9662921348314602E-2</v>
      </c>
      <c r="CS85" s="230">
        <v>78</v>
      </c>
      <c r="CT85" s="240">
        <f t="shared" si="31"/>
        <v>8.7640449438202248E-2</v>
      </c>
      <c r="CU85" s="230">
        <v>49</v>
      </c>
    </row>
    <row r="86" spans="1:99" ht="15" customHeight="1" x14ac:dyDescent="0.2">
      <c r="A86" s="204"/>
      <c r="B86" s="209"/>
      <c r="C86" s="210" t="s">
        <v>309</v>
      </c>
      <c r="D86" s="230">
        <v>23856</v>
      </c>
      <c r="E86" s="230">
        <v>2434</v>
      </c>
      <c r="F86" s="240">
        <f t="shared" si="0"/>
        <v>0.10202883970489604</v>
      </c>
      <c r="G86" s="230">
        <v>2399</v>
      </c>
      <c r="H86" s="240">
        <f t="shared" si="1"/>
        <v>0.10056170355466131</v>
      </c>
      <c r="I86" s="230">
        <v>1034</v>
      </c>
      <c r="J86" s="230">
        <v>609</v>
      </c>
      <c r="K86" s="230">
        <v>84</v>
      </c>
      <c r="L86" s="240">
        <f t="shared" si="2"/>
        <v>0.13793103448275862</v>
      </c>
      <c r="M86" s="230">
        <v>73</v>
      </c>
      <c r="N86" s="240">
        <f t="shared" si="3"/>
        <v>0.11986863711001643</v>
      </c>
      <c r="O86" s="230">
        <v>25</v>
      </c>
      <c r="P86" s="230">
        <v>1764</v>
      </c>
      <c r="Q86" s="230">
        <v>188</v>
      </c>
      <c r="R86" s="240">
        <f t="shared" si="4"/>
        <v>0.10657596371882086</v>
      </c>
      <c r="S86" s="230">
        <v>182</v>
      </c>
      <c r="T86" s="240">
        <f t="shared" si="5"/>
        <v>0.10317460317460317</v>
      </c>
      <c r="U86" s="230">
        <v>81</v>
      </c>
      <c r="V86" s="230">
        <v>1675</v>
      </c>
      <c r="W86" s="230">
        <v>187</v>
      </c>
      <c r="X86" s="240">
        <f t="shared" si="6"/>
        <v>0.11164179104477612</v>
      </c>
      <c r="Y86" s="230">
        <v>172</v>
      </c>
      <c r="Z86" s="240">
        <f t="shared" si="7"/>
        <v>0.10268656716417911</v>
      </c>
      <c r="AA86" s="230">
        <v>67</v>
      </c>
      <c r="AB86" s="230">
        <v>450</v>
      </c>
      <c r="AC86" s="230">
        <v>38</v>
      </c>
      <c r="AD86" s="240">
        <f t="shared" si="8"/>
        <v>8.4444444444444447E-2</v>
      </c>
      <c r="AE86" s="230">
        <v>48</v>
      </c>
      <c r="AF86" s="240">
        <f t="shared" si="9"/>
        <v>0.10666666666666667</v>
      </c>
      <c r="AG86" s="230">
        <v>17</v>
      </c>
      <c r="AH86" s="230">
        <v>911</v>
      </c>
      <c r="AI86" s="230">
        <v>110</v>
      </c>
      <c r="AJ86" s="240">
        <f t="shared" si="10"/>
        <v>0.12074643249176729</v>
      </c>
      <c r="AK86" s="230">
        <v>79</v>
      </c>
      <c r="AL86" s="240">
        <f t="shared" si="11"/>
        <v>8.6717892425905593E-2</v>
      </c>
      <c r="AM86" s="230">
        <v>31</v>
      </c>
      <c r="AN86" s="230">
        <v>1633</v>
      </c>
      <c r="AO86" s="230">
        <v>176</v>
      </c>
      <c r="AP86" s="240">
        <f t="shared" si="12"/>
        <v>0.10777709736680956</v>
      </c>
      <c r="AQ86" s="230">
        <v>172</v>
      </c>
      <c r="AR86" s="240">
        <f t="shared" si="13"/>
        <v>0.10532761788120025</v>
      </c>
      <c r="AS86" s="230">
        <v>67</v>
      </c>
      <c r="AT86" s="230">
        <v>1827</v>
      </c>
      <c r="AU86" s="230">
        <v>195</v>
      </c>
      <c r="AV86" s="240">
        <f t="shared" si="14"/>
        <v>0.10673234811165845</v>
      </c>
      <c r="AW86" s="230">
        <v>160</v>
      </c>
      <c r="AX86" s="240">
        <f t="shared" si="15"/>
        <v>8.7575259989053092E-2</v>
      </c>
      <c r="AY86" s="230">
        <v>92</v>
      </c>
      <c r="AZ86" s="230">
        <v>1780</v>
      </c>
      <c r="BA86" s="230">
        <v>183</v>
      </c>
      <c r="BB86" s="240">
        <f t="shared" si="16"/>
        <v>0.10280898876404494</v>
      </c>
      <c r="BC86" s="230">
        <v>184</v>
      </c>
      <c r="BD86" s="240">
        <f t="shared" si="17"/>
        <v>0.10337078651685393</v>
      </c>
      <c r="BE86" s="230">
        <v>82</v>
      </c>
      <c r="BF86" s="230">
        <v>2935</v>
      </c>
      <c r="BG86" s="230">
        <v>291</v>
      </c>
      <c r="BH86" s="240">
        <f t="shared" si="18"/>
        <v>9.9148211243611589E-2</v>
      </c>
      <c r="BI86" s="230">
        <v>328</v>
      </c>
      <c r="BJ86" s="240">
        <f t="shared" si="19"/>
        <v>0.11175468483816013</v>
      </c>
      <c r="BK86" s="230">
        <v>125</v>
      </c>
      <c r="BL86" s="230">
        <v>1004</v>
      </c>
      <c r="BM86" s="230">
        <v>82</v>
      </c>
      <c r="BN86" s="240">
        <f t="shared" si="20"/>
        <v>8.1673306772908363E-2</v>
      </c>
      <c r="BO86" s="230">
        <v>109</v>
      </c>
      <c r="BP86" s="240">
        <f t="shared" si="21"/>
        <v>0.10856573705179283</v>
      </c>
      <c r="BQ86" s="230">
        <v>38</v>
      </c>
      <c r="BR86" s="230">
        <v>2138</v>
      </c>
      <c r="BS86" s="230">
        <v>206</v>
      </c>
      <c r="BT86" s="240">
        <f t="shared" si="22"/>
        <v>9.6351730589335827E-2</v>
      </c>
      <c r="BU86" s="230">
        <v>191</v>
      </c>
      <c r="BV86" s="240">
        <f t="shared" si="23"/>
        <v>8.9335827876520113E-2</v>
      </c>
      <c r="BW86" s="230">
        <v>92</v>
      </c>
      <c r="BX86" s="230">
        <v>1420</v>
      </c>
      <c r="BY86" s="230">
        <v>143</v>
      </c>
      <c r="BZ86" s="240">
        <f t="shared" si="24"/>
        <v>0.10070422535211268</v>
      </c>
      <c r="CA86" s="230">
        <v>129</v>
      </c>
      <c r="CB86" s="240">
        <f t="shared" si="25"/>
        <v>9.0845070422535215E-2</v>
      </c>
      <c r="CC86" s="230">
        <v>56</v>
      </c>
      <c r="CD86" s="230">
        <v>2258</v>
      </c>
      <c r="CE86" s="230">
        <v>235</v>
      </c>
      <c r="CF86" s="240">
        <f t="shared" si="26"/>
        <v>0.10407440212577503</v>
      </c>
      <c r="CG86" s="230">
        <v>228</v>
      </c>
      <c r="CH86" s="240">
        <f t="shared" si="27"/>
        <v>0.10097431355181577</v>
      </c>
      <c r="CI86" s="230">
        <v>99</v>
      </c>
      <c r="CJ86" s="230">
        <v>902</v>
      </c>
      <c r="CK86" s="230">
        <v>61</v>
      </c>
      <c r="CL86" s="240">
        <f t="shared" si="28"/>
        <v>6.7627494456762749E-2</v>
      </c>
      <c r="CM86" s="230">
        <v>86</v>
      </c>
      <c r="CN86" s="240">
        <f t="shared" si="29"/>
        <v>9.5343680709534362E-2</v>
      </c>
      <c r="CO86" s="230">
        <v>48</v>
      </c>
      <c r="CP86" s="230">
        <v>2550</v>
      </c>
      <c r="CQ86" s="230">
        <v>255</v>
      </c>
      <c r="CR86" s="240">
        <f t="shared" si="30"/>
        <v>0.1</v>
      </c>
      <c r="CS86" s="230">
        <v>258</v>
      </c>
      <c r="CT86" s="240">
        <f t="shared" si="31"/>
        <v>0.1011764705882353</v>
      </c>
      <c r="CU86" s="230">
        <v>114</v>
      </c>
    </row>
    <row r="87" spans="1:99" ht="15" customHeight="1" x14ac:dyDescent="0.2">
      <c r="A87" s="204"/>
      <c r="B87" s="209"/>
      <c r="C87" s="210" t="s">
        <v>310</v>
      </c>
      <c r="D87" s="230">
        <v>10155</v>
      </c>
      <c r="E87" s="230">
        <v>635</v>
      </c>
      <c r="F87" s="240">
        <f t="shared" si="0"/>
        <v>6.2530773018217634E-2</v>
      </c>
      <c r="G87" s="230">
        <v>618</v>
      </c>
      <c r="H87" s="240">
        <f t="shared" si="1"/>
        <v>6.0856720827178731E-2</v>
      </c>
      <c r="I87" s="230">
        <v>345</v>
      </c>
      <c r="J87" s="230">
        <v>345</v>
      </c>
      <c r="K87" s="230">
        <v>23</v>
      </c>
      <c r="L87" s="240">
        <f t="shared" si="2"/>
        <v>6.6666666666666666E-2</v>
      </c>
      <c r="M87" s="230">
        <v>21</v>
      </c>
      <c r="N87" s="240">
        <f t="shared" si="3"/>
        <v>6.0869565217391307E-2</v>
      </c>
      <c r="O87" s="230">
        <v>6</v>
      </c>
      <c r="P87" s="230">
        <v>942</v>
      </c>
      <c r="Q87" s="230">
        <v>53</v>
      </c>
      <c r="R87" s="240">
        <f t="shared" si="4"/>
        <v>5.6263269639065819E-2</v>
      </c>
      <c r="S87" s="230">
        <v>50</v>
      </c>
      <c r="T87" s="240">
        <f t="shared" si="5"/>
        <v>5.3078556263269641E-2</v>
      </c>
      <c r="U87" s="230">
        <v>26</v>
      </c>
      <c r="V87" s="230">
        <v>877</v>
      </c>
      <c r="W87" s="230">
        <v>51</v>
      </c>
      <c r="X87" s="240">
        <f t="shared" si="6"/>
        <v>5.8152793614595209E-2</v>
      </c>
      <c r="Y87" s="230">
        <v>46</v>
      </c>
      <c r="Z87" s="240">
        <f t="shared" si="7"/>
        <v>5.2451539338654506E-2</v>
      </c>
      <c r="AA87" s="230">
        <v>33</v>
      </c>
      <c r="AB87" s="230">
        <v>280</v>
      </c>
      <c r="AC87" s="230">
        <v>15</v>
      </c>
      <c r="AD87" s="240">
        <f t="shared" si="8"/>
        <v>5.3571428571428568E-2</v>
      </c>
      <c r="AE87" s="230">
        <v>21</v>
      </c>
      <c r="AF87" s="240">
        <f t="shared" si="9"/>
        <v>7.4999999999999997E-2</v>
      </c>
      <c r="AG87" s="230">
        <v>5</v>
      </c>
      <c r="AH87" s="230">
        <v>408</v>
      </c>
      <c r="AI87" s="230">
        <v>22</v>
      </c>
      <c r="AJ87" s="240">
        <f t="shared" si="10"/>
        <v>5.3921568627450983E-2</v>
      </c>
      <c r="AK87" s="230">
        <v>28</v>
      </c>
      <c r="AL87" s="240">
        <f t="shared" si="11"/>
        <v>6.8627450980392163E-2</v>
      </c>
      <c r="AM87" s="230">
        <v>10</v>
      </c>
      <c r="AN87" s="230">
        <v>617</v>
      </c>
      <c r="AO87" s="230">
        <v>36</v>
      </c>
      <c r="AP87" s="240">
        <f t="shared" si="12"/>
        <v>5.834683954619125E-2</v>
      </c>
      <c r="AQ87" s="230">
        <v>39</v>
      </c>
      <c r="AR87" s="240">
        <f t="shared" si="13"/>
        <v>6.3209076175040513E-2</v>
      </c>
      <c r="AS87" s="230">
        <v>27</v>
      </c>
      <c r="AT87" s="230">
        <v>583</v>
      </c>
      <c r="AU87" s="230">
        <v>38</v>
      </c>
      <c r="AV87" s="240">
        <f t="shared" si="14"/>
        <v>6.5180102915951971E-2</v>
      </c>
      <c r="AW87" s="230">
        <v>35</v>
      </c>
      <c r="AX87" s="240">
        <f t="shared" si="15"/>
        <v>6.0034305317324184E-2</v>
      </c>
      <c r="AY87" s="230">
        <v>27</v>
      </c>
      <c r="AZ87" s="230">
        <v>808</v>
      </c>
      <c r="BA87" s="230">
        <v>51</v>
      </c>
      <c r="BB87" s="240">
        <f t="shared" si="16"/>
        <v>6.3118811881188119E-2</v>
      </c>
      <c r="BC87" s="230">
        <v>61</v>
      </c>
      <c r="BD87" s="240">
        <f t="shared" si="17"/>
        <v>7.5495049504950493E-2</v>
      </c>
      <c r="BE87" s="230">
        <v>24</v>
      </c>
      <c r="BF87" s="230">
        <v>1022</v>
      </c>
      <c r="BG87" s="230">
        <v>76</v>
      </c>
      <c r="BH87" s="240">
        <f t="shared" si="18"/>
        <v>7.4363992172211346E-2</v>
      </c>
      <c r="BI87" s="230">
        <v>69</v>
      </c>
      <c r="BJ87" s="240">
        <f t="shared" si="19"/>
        <v>6.7514677103718196E-2</v>
      </c>
      <c r="BK87" s="230">
        <v>32</v>
      </c>
      <c r="BL87" s="230">
        <v>450</v>
      </c>
      <c r="BM87" s="230">
        <v>26</v>
      </c>
      <c r="BN87" s="240">
        <f t="shared" si="20"/>
        <v>5.7777777777777775E-2</v>
      </c>
      <c r="BO87" s="230">
        <v>27</v>
      </c>
      <c r="BP87" s="240">
        <f t="shared" si="21"/>
        <v>0.06</v>
      </c>
      <c r="BQ87" s="230">
        <v>15</v>
      </c>
      <c r="BR87" s="230">
        <v>981</v>
      </c>
      <c r="BS87" s="230">
        <v>52</v>
      </c>
      <c r="BT87" s="240">
        <f t="shared" si="22"/>
        <v>5.3007135575942915E-2</v>
      </c>
      <c r="BU87" s="230">
        <v>54</v>
      </c>
      <c r="BV87" s="240">
        <f t="shared" si="23"/>
        <v>5.5045871559633031E-2</v>
      </c>
      <c r="BW87" s="230">
        <v>35</v>
      </c>
      <c r="BX87" s="230">
        <v>627</v>
      </c>
      <c r="BY87" s="230">
        <v>33</v>
      </c>
      <c r="BZ87" s="240">
        <f t="shared" si="24"/>
        <v>5.2631578947368418E-2</v>
      </c>
      <c r="CA87" s="230">
        <v>31</v>
      </c>
      <c r="CB87" s="240">
        <f t="shared" si="25"/>
        <v>4.9441786283891544E-2</v>
      </c>
      <c r="CC87" s="230">
        <v>15</v>
      </c>
      <c r="CD87" s="230">
        <v>881</v>
      </c>
      <c r="CE87" s="230">
        <v>67</v>
      </c>
      <c r="CF87" s="240">
        <f t="shared" si="26"/>
        <v>7.6049943246311008E-2</v>
      </c>
      <c r="CG87" s="230">
        <v>48</v>
      </c>
      <c r="CH87" s="240">
        <f t="shared" si="27"/>
        <v>5.4483541430192961E-2</v>
      </c>
      <c r="CI87" s="230">
        <v>38</v>
      </c>
      <c r="CJ87" s="230">
        <v>420</v>
      </c>
      <c r="CK87" s="230">
        <v>21</v>
      </c>
      <c r="CL87" s="240">
        <f t="shared" si="28"/>
        <v>0.05</v>
      </c>
      <c r="CM87" s="230">
        <v>29</v>
      </c>
      <c r="CN87" s="240">
        <f t="shared" si="29"/>
        <v>6.9047619047619052E-2</v>
      </c>
      <c r="CO87" s="230">
        <v>12</v>
      </c>
      <c r="CP87" s="230">
        <v>914</v>
      </c>
      <c r="CQ87" s="230">
        <v>71</v>
      </c>
      <c r="CR87" s="240">
        <f t="shared" si="30"/>
        <v>7.7680525164113792E-2</v>
      </c>
      <c r="CS87" s="230">
        <v>59</v>
      </c>
      <c r="CT87" s="240">
        <f t="shared" si="31"/>
        <v>6.4551422319474833E-2</v>
      </c>
      <c r="CU87" s="230">
        <v>40</v>
      </c>
    </row>
    <row r="88" spans="1:99" ht="13.8" x14ac:dyDescent="0.2">
      <c r="A88" s="204"/>
      <c r="B88" s="209"/>
      <c r="C88" s="235" t="s">
        <v>311</v>
      </c>
      <c r="D88" s="236">
        <v>9519</v>
      </c>
      <c r="E88" s="236">
        <v>1048</v>
      </c>
      <c r="F88" s="241">
        <f t="shared" si="0"/>
        <v>0.11009559827712995</v>
      </c>
      <c r="G88" s="236">
        <v>1026</v>
      </c>
      <c r="H88" s="241">
        <f t="shared" si="1"/>
        <v>0.10778443113772455</v>
      </c>
      <c r="I88" s="236">
        <v>370</v>
      </c>
      <c r="J88" s="236">
        <v>303</v>
      </c>
      <c r="K88" s="236">
        <v>46</v>
      </c>
      <c r="L88" s="241">
        <f t="shared" si="2"/>
        <v>0.15181518151815182</v>
      </c>
      <c r="M88" s="236">
        <v>36</v>
      </c>
      <c r="N88" s="241">
        <f t="shared" si="3"/>
        <v>0.11881188118811881</v>
      </c>
      <c r="O88" s="236">
        <v>13</v>
      </c>
      <c r="P88" s="236">
        <v>719</v>
      </c>
      <c r="Q88" s="236">
        <v>100</v>
      </c>
      <c r="R88" s="241">
        <f t="shared" si="4"/>
        <v>0.13908205841446453</v>
      </c>
      <c r="S88" s="236">
        <v>68</v>
      </c>
      <c r="T88" s="241">
        <f t="shared" si="5"/>
        <v>9.4575799721835885E-2</v>
      </c>
      <c r="U88" s="236">
        <v>33</v>
      </c>
      <c r="V88" s="236">
        <v>686</v>
      </c>
      <c r="W88" s="236">
        <v>71</v>
      </c>
      <c r="X88" s="241">
        <f t="shared" si="6"/>
        <v>0.10349854227405247</v>
      </c>
      <c r="Y88" s="236">
        <v>71</v>
      </c>
      <c r="Z88" s="241">
        <f t="shared" si="7"/>
        <v>0.10349854227405247</v>
      </c>
      <c r="AA88" s="236">
        <v>28</v>
      </c>
      <c r="AB88" s="236">
        <v>195</v>
      </c>
      <c r="AC88" s="236">
        <v>21</v>
      </c>
      <c r="AD88" s="241">
        <f t="shared" si="8"/>
        <v>0.1076923076923077</v>
      </c>
      <c r="AE88" s="236">
        <v>21</v>
      </c>
      <c r="AF88" s="241">
        <f t="shared" si="9"/>
        <v>0.1076923076923077</v>
      </c>
      <c r="AG88" s="236">
        <v>4</v>
      </c>
      <c r="AH88" s="236">
        <v>432</v>
      </c>
      <c r="AI88" s="236">
        <v>56</v>
      </c>
      <c r="AJ88" s="241">
        <f t="shared" si="10"/>
        <v>0.12962962962962962</v>
      </c>
      <c r="AK88" s="236">
        <v>44</v>
      </c>
      <c r="AL88" s="241">
        <f t="shared" si="11"/>
        <v>0.10185185185185185</v>
      </c>
      <c r="AM88" s="236">
        <v>19</v>
      </c>
      <c r="AN88" s="236">
        <v>596</v>
      </c>
      <c r="AO88" s="236">
        <v>51</v>
      </c>
      <c r="AP88" s="241">
        <f t="shared" si="12"/>
        <v>8.557046979865772E-2</v>
      </c>
      <c r="AQ88" s="236">
        <v>61</v>
      </c>
      <c r="AR88" s="241">
        <f t="shared" si="13"/>
        <v>0.10234899328859061</v>
      </c>
      <c r="AS88" s="236">
        <v>18</v>
      </c>
      <c r="AT88" s="236">
        <v>613</v>
      </c>
      <c r="AU88" s="236">
        <v>59</v>
      </c>
      <c r="AV88" s="241">
        <f t="shared" si="14"/>
        <v>9.6247960848287115E-2</v>
      </c>
      <c r="AW88" s="236">
        <v>69</v>
      </c>
      <c r="AX88" s="241">
        <f t="shared" si="15"/>
        <v>0.11256117455138662</v>
      </c>
      <c r="AY88" s="236">
        <v>27</v>
      </c>
      <c r="AZ88" s="236">
        <v>745</v>
      </c>
      <c r="BA88" s="236">
        <v>67</v>
      </c>
      <c r="BB88" s="241">
        <f t="shared" si="16"/>
        <v>8.9932885906040275E-2</v>
      </c>
      <c r="BC88" s="236">
        <v>80</v>
      </c>
      <c r="BD88" s="241">
        <f t="shared" si="17"/>
        <v>0.10738255033557047</v>
      </c>
      <c r="BE88" s="236">
        <v>43</v>
      </c>
      <c r="BF88" s="236">
        <v>1033</v>
      </c>
      <c r="BG88" s="236">
        <v>116</v>
      </c>
      <c r="BH88" s="241">
        <f t="shared" si="18"/>
        <v>0.11229428848015489</v>
      </c>
      <c r="BI88" s="236">
        <v>104</v>
      </c>
      <c r="BJ88" s="241">
        <f t="shared" si="19"/>
        <v>0.10067763794772508</v>
      </c>
      <c r="BK88" s="236">
        <v>39</v>
      </c>
      <c r="BL88" s="236">
        <v>360</v>
      </c>
      <c r="BM88" s="236">
        <v>45</v>
      </c>
      <c r="BN88" s="241">
        <f t="shared" si="20"/>
        <v>0.125</v>
      </c>
      <c r="BO88" s="236">
        <v>41</v>
      </c>
      <c r="BP88" s="241">
        <f t="shared" si="21"/>
        <v>0.11388888888888889</v>
      </c>
      <c r="BQ88" s="236">
        <v>13</v>
      </c>
      <c r="BR88" s="236">
        <v>805</v>
      </c>
      <c r="BS88" s="236">
        <v>79</v>
      </c>
      <c r="BT88" s="241">
        <f t="shared" si="22"/>
        <v>9.8136645962732916E-2</v>
      </c>
      <c r="BU88" s="236">
        <v>81</v>
      </c>
      <c r="BV88" s="241">
        <f t="shared" si="23"/>
        <v>0.10062111801242236</v>
      </c>
      <c r="BW88" s="236">
        <v>25</v>
      </c>
      <c r="BX88" s="236">
        <v>617</v>
      </c>
      <c r="BY88" s="236">
        <v>66</v>
      </c>
      <c r="BZ88" s="241">
        <f t="shared" si="24"/>
        <v>0.10696920583468396</v>
      </c>
      <c r="CA88" s="236">
        <v>74</v>
      </c>
      <c r="CB88" s="241">
        <f t="shared" si="25"/>
        <v>0.11993517017828201</v>
      </c>
      <c r="CC88" s="236">
        <v>31</v>
      </c>
      <c r="CD88" s="236">
        <v>1023</v>
      </c>
      <c r="CE88" s="236">
        <v>124</v>
      </c>
      <c r="CF88" s="241">
        <f t="shared" si="26"/>
        <v>0.12121212121212122</v>
      </c>
      <c r="CG88" s="236">
        <v>125</v>
      </c>
      <c r="CH88" s="241">
        <f t="shared" si="27"/>
        <v>0.12218963831867058</v>
      </c>
      <c r="CI88" s="236">
        <v>39</v>
      </c>
      <c r="CJ88" s="236">
        <v>404</v>
      </c>
      <c r="CK88" s="236">
        <v>41</v>
      </c>
      <c r="CL88" s="241">
        <f t="shared" si="28"/>
        <v>0.10148514851485149</v>
      </c>
      <c r="CM88" s="236">
        <v>44</v>
      </c>
      <c r="CN88" s="241">
        <f t="shared" si="29"/>
        <v>0.10891089108910891</v>
      </c>
      <c r="CO88" s="236">
        <v>8</v>
      </c>
      <c r="CP88" s="236">
        <v>988</v>
      </c>
      <c r="CQ88" s="236">
        <v>106</v>
      </c>
      <c r="CR88" s="241">
        <f t="shared" si="30"/>
        <v>0.10728744939271255</v>
      </c>
      <c r="CS88" s="236">
        <v>107</v>
      </c>
      <c r="CT88" s="241">
        <f t="shared" si="31"/>
        <v>0.1082995951417004</v>
      </c>
      <c r="CU88" s="236">
        <v>30</v>
      </c>
    </row>
    <row r="90" spans="1:99" ht="15" customHeight="1" x14ac:dyDescent="0.2">
      <c r="A90" s="204"/>
      <c r="B90" s="204"/>
      <c r="C90" s="400" t="s">
        <v>268</v>
      </c>
      <c r="D90" s="400"/>
      <c r="E90" s="400"/>
      <c r="F90" s="400"/>
      <c r="G90" s="400"/>
      <c r="H90" s="400"/>
      <c r="I90" s="400"/>
      <c r="J90" s="400"/>
      <c r="K90" s="400"/>
      <c r="L90" s="242"/>
      <c r="CU90" s="116" t="s">
        <v>178</v>
      </c>
    </row>
    <row r="91" spans="1:99" ht="15" customHeight="1" x14ac:dyDescent="0.2">
      <c r="A91" s="204"/>
      <c r="B91" s="204"/>
      <c r="C91" s="420" t="s">
        <v>295</v>
      </c>
      <c r="D91" s="420"/>
      <c r="E91" s="420"/>
      <c r="F91" s="420"/>
      <c r="G91" s="420"/>
      <c r="H91" s="420"/>
      <c r="I91" s="420"/>
      <c r="J91" s="420"/>
      <c r="K91" s="420"/>
      <c r="L91" s="243"/>
    </row>
    <row r="92" spans="1:99" ht="24" customHeight="1" x14ac:dyDescent="0.2">
      <c r="C92" s="420"/>
      <c r="D92" s="420"/>
      <c r="E92" s="420"/>
      <c r="F92" s="420"/>
      <c r="G92" s="420"/>
      <c r="H92" s="420"/>
      <c r="I92" s="420"/>
      <c r="J92" s="420"/>
      <c r="K92" s="420"/>
      <c r="L92" s="243"/>
    </row>
    <row r="93" spans="1:99" ht="15" customHeight="1" x14ac:dyDescent="0.2">
      <c r="C93" s="402" t="s">
        <v>312</v>
      </c>
      <c r="D93" s="420"/>
      <c r="E93" s="420"/>
      <c r="F93" s="420"/>
      <c r="G93" s="420"/>
      <c r="H93" s="420"/>
      <c r="I93" s="420"/>
      <c r="J93" s="420"/>
      <c r="K93" s="420"/>
      <c r="L93" s="244"/>
    </row>
    <row r="94" spans="1:99" ht="15" customHeight="1" x14ac:dyDescent="0.2">
      <c r="C94" s="245"/>
      <c r="D94" s="245"/>
      <c r="E94" s="230"/>
      <c r="F94" s="230"/>
      <c r="G94" s="230"/>
    </row>
    <row r="95" spans="1:99" ht="15" customHeight="1" x14ac:dyDescent="0.2">
      <c r="C95" s="245"/>
      <c r="D95" s="245"/>
      <c r="E95" s="230"/>
      <c r="F95" s="230"/>
      <c r="G95" s="230"/>
    </row>
    <row r="96" spans="1:99" ht="15" customHeight="1" x14ac:dyDescent="0.2">
      <c r="C96" s="245"/>
      <c r="D96" s="245"/>
      <c r="E96" s="246"/>
      <c r="F96" s="246"/>
      <c r="G96" s="246"/>
    </row>
    <row r="97" spans="3:7" ht="15" customHeight="1" x14ac:dyDescent="0.2">
      <c r="C97" s="245"/>
      <c r="D97" s="245"/>
      <c r="E97" s="246"/>
      <c r="F97" s="246"/>
      <c r="G97" s="246"/>
    </row>
    <row r="98" spans="3:7" ht="15" customHeight="1" x14ac:dyDescent="0.2">
      <c r="C98" s="245"/>
      <c r="D98" s="245"/>
      <c r="E98" s="246"/>
      <c r="F98" s="246"/>
      <c r="G98" s="246"/>
    </row>
    <row r="99" spans="3:7" x14ac:dyDescent="0.2">
      <c r="C99" s="247"/>
      <c r="D99" s="247"/>
      <c r="E99" s="248"/>
      <c r="F99" s="248"/>
      <c r="G99" s="248"/>
    </row>
    <row r="100" spans="3:7" x14ac:dyDescent="0.2">
      <c r="C100" s="400"/>
      <c r="D100" s="400"/>
      <c r="E100" s="400"/>
      <c r="F100" s="400"/>
      <c r="G100" s="400"/>
    </row>
    <row r="101" spans="3:7" x14ac:dyDescent="0.2">
      <c r="C101" s="400"/>
      <c r="D101" s="400"/>
      <c r="E101" s="400"/>
      <c r="F101" s="400"/>
      <c r="G101" s="400"/>
    </row>
    <row r="102" spans="3:7" x14ac:dyDescent="0.2">
      <c r="C102" s="199"/>
      <c r="D102" s="199"/>
      <c r="E102" s="99"/>
      <c r="F102" s="99"/>
      <c r="G102" s="99"/>
    </row>
    <row r="103" spans="3:7" x14ac:dyDescent="0.2">
      <c r="C103" s="199"/>
      <c r="D103" s="199"/>
      <c r="E103" s="99"/>
      <c r="F103" s="99"/>
      <c r="G103" s="99"/>
    </row>
    <row r="104" spans="3:7" x14ac:dyDescent="0.2">
      <c r="C104" s="420"/>
      <c r="D104" s="420"/>
      <c r="E104" s="420"/>
      <c r="F104" s="420"/>
      <c r="G104" s="420"/>
    </row>
  </sheetData>
  <mergeCells count="30">
    <mergeCell ref="C72:I73"/>
    <mergeCell ref="C3:G3"/>
    <mergeCell ref="C4:C5"/>
    <mergeCell ref="D4:D5"/>
    <mergeCell ref="E4:G4"/>
    <mergeCell ref="C71:I71"/>
    <mergeCell ref="C74:I74"/>
    <mergeCell ref="C76:C77"/>
    <mergeCell ref="D76:I76"/>
    <mergeCell ref="J76:O76"/>
    <mergeCell ref="P76:U76"/>
    <mergeCell ref="CJ76:CO76"/>
    <mergeCell ref="CP76:CU76"/>
    <mergeCell ref="AB76:AG76"/>
    <mergeCell ref="AH76:AM76"/>
    <mergeCell ref="AN76:AS76"/>
    <mergeCell ref="AT76:AY76"/>
    <mergeCell ref="AZ76:BE76"/>
    <mergeCell ref="BF76:BK76"/>
    <mergeCell ref="C104:G104"/>
    <mergeCell ref="BL76:BQ76"/>
    <mergeCell ref="BR76:BW76"/>
    <mergeCell ref="BX76:CC76"/>
    <mergeCell ref="CD76:CI76"/>
    <mergeCell ref="V76:AA76"/>
    <mergeCell ref="C90:K90"/>
    <mergeCell ref="C91:K92"/>
    <mergeCell ref="C93:K93"/>
    <mergeCell ref="C100:G100"/>
    <mergeCell ref="C101:G101"/>
  </mergeCells>
  <hyperlinks>
    <hyperlink ref="CU90" location="Inhaltsverzeichnis!A1" display="› Zurück zum Inhaltsverzeichnis" xr:uid="{23E89982-152A-4DFC-B503-B31A7EC0325A}"/>
  </hyperlinks>
  <pageMargins left="0.7" right="0.7" top="0.78740157499999996" bottom="0.78740157499999996"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398C1-D44E-424A-9B13-1DBE6E0312EF}">
  <dimension ref="A1:J41"/>
  <sheetViews>
    <sheetView zoomScaleNormal="100" workbookViewId="0">
      <pane ySplit="5" topLeftCell="A29" activePane="bottomLeft" state="frozen"/>
      <selection pane="bottomLeft"/>
    </sheetView>
  </sheetViews>
  <sheetFormatPr baseColWidth="10" defaultColWidth="11.375" defaultRowHeight="11.4" x14ac:dyDescent="0.2"/>
  <cols>
    <col min="1" max="1" width="2.75" customWidth="1"/>
    <col min="2" max="3" width="12.75" customWidth="1"/>
    <col min="4" max="4" width="14.875" customWidth="1"/>
    <col min="5" max="10" width="12.75" customWidth="1"/>
  </cols>
  <sheetData>
    <row r="1" spans="1:10" s="4" customFormat="1" ht="13.8" x14ac:dyDescent="0.2">
      <c r="C1" s="40"/>
      <c r="E1" s="41"/>
    </row>
    <row r="2" spans="1:10" s="203" customFormat="1" ht="20.100000000000001" customHeight="1" x14ac:dyDescent="0.25">
      <c r="A2" s="201"/>
      <c r="B2" s="202" t="s">
        <v>44</v>
      </c>
      <c r="C2" s="202"/>
      <c r="D2" s="202"/>
      <c r="E2" s="202"/>
      <c r="F2" s="202"/>
      <c r="G2" s="202"/>
    </row>
    <row r="3" spans="1:10" s="80" customFormat="1" ht="50.25" customHeight="1" x14ac:dyDescent="0.2">
      <c r="A3" s="65"/>
      <c r="B3" s="381" t="s">
        <v>314</v>
      </c>
      <c r="C3" s="381"/>
      <c r="D3" s="381"/>
      <c r="E3" s="381"/>
      <c r="F3" s="381"/>
      <c r="G3" s="381"/>
    </row>
    <row r="4" spans="1:10" s="222" customFormat="1" ht="20.25" customHeight="1" x14ac:dyDescent="0.2">
      <c r="A4" s="204"/>
      <c r="B4" s="422" t="s">
        <v>0</v>
      </c>
      <c r="C4" s="427" t="s">
        <v>315</v>
      </c>
      <c r="D4" s="427"/>
      <c r="E4" s="427"/>
      <c r="F4" s="427"/>
      <c r="G4" s="427" t="s">
        <v>316</v>
      </c>
      <c r="H4" s="427"/>
      <c r="I4" s="427"/>
      <c r="J4" s="428"/>
    </row>
    <row r="5" spans="1:10" s="222" customFormat="1" ht="35.25" customHeight="1" x14ac:dyDescent="0.2">
      <c r="A5" s="204"/>
      <c r="B5" s="422"/>
      <c r="C5" s="200" t="s">
        <v>14</v>
      </c>
      <c r="D5" s="200" t="s">
        <v>317</v>
      </c>
      <c r="E5" s="200" t="s">
        <v>318</v>
      </c>
      <c r="F5" s="200" t="s">
        <v>319</v>
      </c>
      <c r="G5" s="200" t="s">
        <v>14</v>
      </c>
      <c r="H5" s="200" t="s">
        <v>320</v>
      </c>
      <c r="I5" s="200" t="s">
        <v>321</v>
      </c>
      <c r="J5" s="198" t="s">
        <v>322</v>
      </c>
    </row>
    <row r="6" spans="1:10" ht="15" customHeight="1" x14ac:dyDescent="0.2">
      <c r="A6" s="204"/>
      <c r="B6" s="250">
        <v>2000</v>
      </c>
      <c r="C6" s="230">
        <v>28024</v>
      </c>
      <c r="D6" s="230">
        <v>22620</v>
      </c>
      <c r="E6" s="230">
        <v>1606</v>
      </c>
      <c r="F6" s="230">
        <v>3798</v>
      </c>
      <c r="G6" s="230">
        <v>23924</v>
      </c>
      <c r="H6" s="230">
        <v>17980</v>
      </c>
      <c r="I6" s="230">
        <v>2612</v>
      </c>
      <c r="J6" s="230">
        <v>3332</v>
      </c>
    </row>
    <row r="7" spans="1:10" ht="15" customHeight="1" x14ac:dyDescent="0.2">
      <c r="A7" s="204"/>
      <c r="B7" s="250">
        <v>2001</v>
      </c>
      <c r="C7" s="230">
        <v>27056</v>
      </c>
      <c r="D7" s="230">
        <v>22133</v>
      </c>
      <c r="E7" s="230">
        <v>1329</v>
      </c>
      <c r="F7" s="230">
        <v>3594</v>
      </c>
      <c r="G7" s="230">
        <v>23688</v>
      </c>
      <c r="H7" s="230">
        <v>17815</v>
      </c>
      <c r="I7" s="230">
        <v>2338</v>
      </c>
      <c r="J7" s="230">
        <v>3535</v>
      </c>
    </row>
    <row r="8" spans="1:10" ht="15" customHeight="1" x14ac:dyDescent="0.2">
      <c r="B8" s="250">
        <v>2002</v>
      </c>
      <c r="C8" s="230">
        <v>27771</v>
      </c>
      <c r="D8" s="230">
        <v>22491</v>
      </c>
      <c r="E8" s="230">
        <v>1672</v>
      </c>
      <c r="F8" s="230">
        <v>3608</v>
      </c>
      <c r="G8" s="230">
        <v>23929</v>
      </c>
      <c r="H8" s="230">
        <v>18260</v>
      </c>
      <c r="I8" s="230">
        <v>2356</v>
      </c>
      <c r="J8" s="230">
        <v>3313</v>
      </c>
    </row>
    <row r="9" spans="1:10" ht="15" customHeight="1" x14ac:dyDescent="0.2">
      <c r="B9" s="250">
        <v>2003</v>
      </c>
      <c r="C9" s="230">
        <v>31587</v>
      </c>
      <c r="D9" s="230">
        <v>25624</v>
      </c>
      <c r="E9" s="230">
        <v>2593</v>
      </c>
      <c r="F9" s="230">
        <v>3370</v>
      </c>
      <c r="G9" s="230">
        <v>23654</v>
      </c>
      <c r="H9" s="230">
        <v>17944</v>
      </c>
      <c r="I9" s="230">
        <v>2684</v>
      </c>
      <c r="J9" s="230">
        <v>3026</v>
      </c>
    </row>
    <row r="10" spans="1:10" ht="15" customHeight="1" x14ac:dyDescent="0.2">
      <c r="B10" s="250">
        <v>2004</v>
      </c>
      <c r="C10" s="230">
        <v>36359</v>
      </c>
      <c r="D10" s="230">
        <v>30135</v>
      </c>
      <c r="E10" s="230">
        <v>2874</v>
      </c>
      <c r="F10" s="230">
        <v>3350</v>
      </c>
      <c r="G10" s="230">
        <v>24336</v>
      </c>
      <c r="H10" s="230">
        <v>18633</v>
      </c>
      <c r="I10" s="230">
        <v>2861</v>
      </c>
      <c r="J10" s="230">
        <v>2842</v>
      </c>
    </row>
    <row r="11" spans="1:10" ht="15" customHeight="1" x14ac:dyDescent="0.2">
      <c r="B11" s="250"/>
      <c r="C11" s="230"/>
      <c r="D11" s="230"/>
      <c r="E11" s="230"/>
      <c r="F11" s="230"/>
      <c r="G11" s="230"/>
      <c r="H11" s="230"/>
      <c r="I11" s="230"/>
      <c r="J11" s="230"/>
    </row>
    <row r="12" spans="1:10" ht="15" customHeight="1" x14ac:dyDescent="0.2">
      <c r="B12" s="250">
        <v>2005</v>
      </c>
      <c r="C12" s="230">
        <v>32219</v>
      </c>
      <c r="D12" s="230">
        <v>26140</v>
      </c>
      <c r="E12" s="230">
        <v>3111</v>
      </c>
      <c r="F12" s="230">
        <v>2968</v>
      </c>
      <c r="G12" s="230">
        <v>25984</v>
      </c>
      <c r="H12" s="230">
        <v>20051</v>
      </c>
      <c r="I12" s="230">
        <v>3084</v>
      </c>
      <c r="J12" s="230">
        <v>2849</v>
      </c>
    </row>
    <row r="13" spans="1:10" ht="15" customHeight="1" x14ac:dyDescent="0.2">
      <c r="B13" s="250">
        <v>2006</v>
      </c>
      <c r="C13" s="230">
        <v>32847</v>
      </c>
      <c r="D13" s="230">
        <v>26444</v>
      </c>
      <c r="E13" s="230">
        <v>3557</v>
      </c>
      <c r="F13" s="230">
        <v>2846</v>
      </c>
      <c r="G13" s="230">
        <v>25816</v>
      </c>
      <c r="H13" s="230">
        <v>20185</v>
      </c>
      <c r="I13" s="230">
        <v>3130</v>
      </c>
      <c r="J13" s="230">
        <v>2501</v>
      </c>
    </row>
    <row r="14" spans="1:10" ht="15" customHeight="1" x14ac:dyDescent="0.2">
      <c r="B14" s="250">
        <v>2007</v>
      </c>
      <c r="C14" s="230">
        <v>30781</v>
      </c>
      <c r="D14" s="230">
        <v>24775</v>
      </c>
      <c r="E14" s="230">
        <v>3330</v>
      </c>
      <c r="F14" s="230">
        <v>2676</v>
      </c>
      <c r="G14" s="230">
        <v>24926</v>
      </c>
      <c r="H14" s="230">
        <v>19635</v>
      </c>
      <c r="I14" s="230">
        <v>3000</v>
      </c>
      <c r="J14" s="230">
        <v>2291</v>
      </c>
    </row>
    <row r="15" spans="1:10" ht="15" customHeight="1" x14ac:dyDescent="0.2">
      <c r="B15" s="250">
        <v>2008</v>
      </c>
      <c r="C15" s="230">
        <v>31074</v>
      </c>
      <c r="D15" s="230">
        <v>24884</v>
      </c>
      <c r="E15" s="230">
        <v>3560</v>
      </c>
      <c r="F15" s="230">
        <v>2630</v>
      </c>
      <c r="G15" s="230">
        <v>25523</v>
      </c>
      <c r="H15" s="230">
        <v>20128</v>
      </c>
      <c r="I15" s="230">
        <v>3022</v>
      </c>
      <c r="J15" s="230">
        <v>2373</v>
      </c>
    </row>
    <row r="16" spans="1:10" ht="15" customHeight="1" x14ac:dyDescent="0.2">
      <c r="B16" s="250">
        <v>2009</v>
      </c>
      <c r="C16" s="230">
        <v>32271</v>
      </c>
      <c r="D16" s="230">
        <v>26499</v>
      </c>
      <c r="E16" s="230">
        <v>3245</v>
      </c>
      <c r="F16" s="230">
        <v>2527</v>
      </c>
      <c r="G16" s="230">
        <v>26623</v>
      </c>
      <c r="H16" s="230">
        <v>21151</v>
      </c>
      <c r="I16" s="230">
        <v>3186</v>
      </c>
      <c r="J16" s="230">
        <v>2286</v>
      </c>
    </row>
    <row r="17" spans="2:10" ht="15" customHeight="1" x14ac:dyDescent="0.2">
      <c r="B17" s="250"/>
      <c r="C17" s="230"/>
      <c r="D17" s="230"/>
      <c r="E17" s="230"/>
      <c r="F17" s="230"/>
      <c r="G17" s="230"/>
      <c r="H17" s="230"/>
      <c r="I17" s="230"/>
      <c r="J17" s="230"/>
    </row>
    <row r="18" spans="2:10" ht="15" customHeight="1" x14ac:dyDescent="0.2">
      <c r="B18" s="250">
        <v>2010</v>
      </c>
      <c r="C18" s="230">
        <v>32718</v>
      </c>
      <c r="D18" s="230">
        <v>26806</v>
      </c>
      <c r="E18" s="230">
        <v>3541</v>
      </c>
      <c r="F18" s="230">
        <v>2371</v>
      </c>
      <c r="G18" s="230">
        <v>25984</v>
      </c>
      <c r="H18" s="230">
        <v>20578</v>
      </c>
      <c r="I18" s="230">
        <v>3263</v>
      </c>
      <c r="J18" s="230">
        <v>2143</v>
      </c>
    </row>
    <row r="19" spans="2:10" ht="15" customHeight="1" x14ac:dyDescent="0.2">
      <c r="B19" s="250">
        <v>2011</v>
      </c>
      <c r="C19" s="230">
        <v>29971</v>
      </c>
      <c r="D19" s="230">
        <v>24066</v>
      </c>
      <c r="E19" s="230">
        <v>3597</v>
      </c>
      <c r="F19" s="230">
        <v>2308</v>
      </c>
      <c r="G19" s="230">
        <v>25729</v>
      </c>
      <c r="H19" s="230">
        <v>20364</v>
      </c>
      <c r="I19" s="230">
        <v>3334</v>
      </c>
      <c r="J19" s="230">
        <v>2031</v>
      </c>
    </row>
    <row r="20" spans="2:10" ht="15" customHeight="1" x14ac:dyDescent="0.2">
      <c r="B20" s="250">
        <v>2012</v>
      </c>
      <c r="C20" s="230">
        <v>27728</v>
      </c>
      <c r="D20" s="230">
        <v>21948</v>
      </c>
      <c r="E20" s="230">
        <v>3688</v>
      </c>
      <c r="F20" s="230">
        <v>2092</v>
      </c>
      <c r="G20" s="230">
        <v>25195</v>
      </c>
      <c r="H20" s="230">
        <v>20027</v>
      </c>
      <c r="I20" s="230">
        <v>3254</v>
      </c>
      <c r="J20" s="230">
        <v>1914</v>
      </c>
    </row>
    <row r="21" spans="2:10" ht="15" customHeight="1" x14ac:dyDescent="0.2">
      <c r="B21" s="250">
        <v>2013</v>
      </c>
      <c r="C21" s="230">
        <v>27739</v>
      </c>
      <c r="D21" s="230">
        <v>22013</v>
      </c>
      <c r="E21" s="230">
        <v>3757</v>
      </c>
      <c r="F21" s="230">
        <v>1969</v>
      </c>
      <c r="G21" s="230">
        <v>25071</v>
      </c>
      <c r="H21" s="230">
        <v>19975</v>
      </c>
      <c r="I21" s="230">
        <v>3190</v>
      </c>
      <c r="J21" s="230">
        <v>1906</v>
      </c>
    </row>
    <row r="22" spans="2:10" ht="15" customHeight="1" x14ac:dyDescent="0.2">
      <c r="B22" s="250">
        <v>2014</v>
      </c>
      <c r="C22" s="230">
        <v>27426</v>
      </c>
      <c r="D22" s="230">
        <v>21509</v>
      </c>
      <c r="E22" s="230">
        <v>3962</v>
      </c>
      <c r="F22" s="230">
        <v>1955</v>
      </c>
      <c r="G22" s="230">
        <v>27402</v>
      </c>
      <c r="H22" s="230">
        <v>21971</v>
      </c>
      <c r="I22" s="230">
        <v>3468</v>
      </c>
      <c r="J22" s="230">
        <v>1963</v>
      </c>
    </row>
    <row r="23" spans="2:10" ht="15" customHeight="1" x14ac:dyDescent="0.2">
      <c r="B23" s="250"/>
      <c r="C23" s="230"/>
      <c r="D23" s="230"/>
      <c r="E23" s="230"/>
      <c r="F23" s="230"/>
      <c r="G23" s="230"/>
      <c r="H23" s="230"/>
      <c r="I23" s="230"/>
      <c r="J23" s="230"/>
    </row>
    <row r="24" spans="2:10" ht="15" customHeight="1" x14ac:dyDescent="0.2">
      <c r="B24" s="250">
        <v>2015</v>
      </c>
      <c r="C24" s="230">
        <v>26383</v>
      </c>
      <c r="D24" s="230">
        <v>20698</v>
      </c>
      <c r="E24" s="230">
        <v>3800</v>
      </c>
      <c r="F24" s="230">
        <v>1885</v>
      </c>
      <c r="G24" s="230">
        <v>25601</v>
      </c>
      <c r="H24" s="230">
        <v>20280</v>
      </c>
      <c r="I24" s="230">
        <v>3494</v>
      </c>
      <c r="J24" s="230">
        <v>1827</v>
      </c>
    </row>
    <row r="25" spans="2:10" ht="15" customHeight="1" x14ac:dyDescent="0.2">
      <c r="B25" s="250">
        <v>2016</v>
      </c>
      <c r="C25" s="230">
        <v>25683</v>
      </c>
      <c r="D25" s="230">
        <v>20075</v>
      </c>
      <c r="E25" s="230">
        <v>3632</v>
      </c>
      <c r="F25" s="230">
        <v>1976</v>
      </c>
      <c r="G25" s="230">
        <v>25189</v>
      </c>
      <c r="H25" s="230">
        <v>20252</v>
      </c>
      <c r="I25" s="230">
        <v>3098</v>
      </c>
      <c r="J25" s="230">
        <v>1839</v>
      </c>
    </row>
    <row r="26" spans="2:10" ht="15" customHeight="1" x14ac:dyDescent="0.2">
      <c r="B26" s="250">
        <v>2017</v>
      </c>
      <c r="C26" s="230">
        <v>25561</v>
      </c>
      <c r="D26" s="230">
        <v>20008</v>
      </c>
      <c r="E26" s="230">
        <v>3590</v>
      </c>
      <c r="F26" s="230">
        <v>1963</v>
      </c>
      <c r="G26" s="230">
        <v>24417</v>
      </c>
      <c r="H26" s="230">
        <v>19234</v>
      </c>
      <c r="I26" s="230">
        <v>3240</v>
      </c>
      <c r="J26" s="230">
        <v>1943</v>
      </c>
    </row>
    <row r="27" spans="2:10" ht="15" customHeight="1" x14ac:dyDescent="0.2">
      <c r="B27" s="250">
        <v>2018</v>
      </c>
      <c r="C27" s="230">
        <v>24752</v>
      </c>
      <c r="D27" s="230">
        <v>19413</v>
      </c>
      <c r="E27" s="230">
        <v>3484</v>
      </c>
      <c r="F27" s="230">
        <v>1855</v>
      </c>
      <c r="G27" s="230">
        <v>23545</v>
      </c>
      <c r="H27" s="230">
        <v>18633</v>
      </c>
      <c r="I27" s="230">
        <v>3079</v>
      </c>
      <c r="J27" s="230">
        <v>1833</v>
      </c>
    </row>
    <row r="28" spans="2:10" ht="15" customHeight="1" x14ac:dyDescent="0.2">
      <c r="B28" s="250">
        <v>2019</v>
      </c>
      <c r="C28" s="230">
        <v>26015</v>
      </c>
      <c r="D28" s="230">
        <v>20501</v>
      </c>
      <c r="E28" s="230">
        <v>3625</v>
      </c>
      <c r="F28" s="230">
        <v>1889</v>
      </c>
      <c r="G28" s="230">
        <v>23193</v>
      </c>
      <c r="H28" s="230">
        <v>18245</v>
      </c>
      <c r="I28" s="230">
        <v>3065</v>
      </c>
      <c r="J28" s="230">
        <v>1883</v>
      </c>
    </row>
    <row r="29" spans="2:10" ht="15" customHeight="1" x14ac:dyDescent="0.2">
      <c r="B29" s="250"/>
      <c r="C29" s="230"/>
      <c r="D29" s="230"/>
      <c r="E29" s="230"/>
      <c r="F29" s="230"/>
      <c r="G29" s="230"/>
      <c r="H29" s="230"/>
      <c r="I29" s="230"/>
      <c r="J29" s="230"/>
    </row>
    <row r="30" spans="2:10" ht="15" customHeight="1" x14ac:dyDescent="0.2">
      <c r="B30" s="250">
        <v>2020</v>
      </c>
      <c r="C30" s="230">
        <v>25132</v>
      </c>
      <c r="D30" s="230">
        <v>19811</v>
      </c>
      <c r="E30" s="230">
        <v>3372</v>
      </c>
      <c r="F30" s="230">
        <v>1949</v>
      </c>
      <c r="G30" s="230">
        <v>21196</v>
      </c>
      <c r="H30" s="230">
        <v>16419</v>
      </c>
      <c r="I30" s="230">
        <v>2928</v>
      </c>
      <c r="J30" s="230">
        <v>1849</v>
      </c>
    </row>
    <row r="31" spans="2:10" ht="15" customHeight="1" x14ac:dyDescent="0.2">
      <c r="B31" s="250">
        <v>2021</v>
      </c>
      <c r="C31" s="246">
        <v>26724</v>
      </c>
      <c r="D31" s="246">
        <v>21433</v>
      </c>
      <c r="E31" s="246">
        <v>3319</v>
      </c>
      <c r="F31" s="246">
        <v>1972</v>
      </c>
      <c r="G31" s="246">
        <v>20853</v>
      </c>
      <c r="H31" s="246">
        <v>15957</v>
      </c>
      <c r="I31" s="246">
        <v>3042</v>
      </c>
      <c r="J31" s="246">
        <v>1854</v>
      </c>
    </row>
    <row r="32" spans="2:10" ht="15" customHeight="1" x14ac:dyDescent="0.2">
      <c r="B32" s="250">
        <v>2022</v>
      </c>
      <c r="C32" s="246">
        <v>25716</v>
      </c>
      <c r="D32" s="246">
        <v>20411</v>
      </c>
      <c r="E32" s="246">
        <v>3338</v>
      </c>
      <c r="F32" s="246">
        <v>1967</v>
      </c>
      <c r="G32" s="246">
        <v>21711</v>
      </c>
      <c r="H32" s="246">
        <v>17109</v>
      </c>
      <c r="I32" s="246">
        <v>2810</v>
      </c>
      <c r="J32" s="246">
        <v>1792</v>
      </c>
    </row>
    <row r="33" spans="2:10" ht="15" customHeight="1" x14ac:dyDescent="0.2">
      <c r="B33" s="250" t="s">
        <v>323</v>
      </c>
      <c r="C33" s="246">
        <v>27060</v>
      </c>
      <c r="D33" s="246">
        <v>21448</v>
      </c>
      <c r="E33" s="246">
        <v>3479</v>
      </c>
      <c r="F33" s="246">
        <v>2133</v>
      </c>
      <c r="G33" s="246">
        <v>22295</v>
      </c>
      <c r="H33" s="246">
        <v>17494</v>
      </c>
      <c r="I33" s="246">
        <v>2999</v>
      </c>
      <c r="J33" s="246">
        <v>1802</v>
      </c>
    </row>
    <row r="34" spans="2:10" ht="15" customHeight="1" x14ac:dyDescent="0.2">
      <c r="B34" s="251">
        <v>2024</v>
      </c>
      <c r="C34" s="252">
        <v>27177</v>
      </c>
      <c r="D34" s="252">
        <v>21556</v>
      </c>
      <c r="E34" s="252">
        <v>3502</v>
      </c>
      <c r="F34" s="252">
        <v>2119</v>
      </c>
      <c r="G34" s="252">
        <v>24301</v>
      </c>
      <c r="H34" s="252">
        <v>19124</v>
      </c>
      <c r="I34" s="252">
        <v>3213</v>
      </c>
      <c r="J34" s="252">
        <v>1964</v>
      </c>
    </row>
    <row r="35" spans="2:10" x14ac:dyDescent="0.2">
      <c r="B35" s="247"/>
      <c r="C35" s="248"/>
      <c r="D35" s="248"/>
      <c r="E35" s="248"/>
      <c r="F35" s="248"/>
      <c r="G35" s="248"/>
      <c r="H35" s="248"/>
      <c r="I35" s="248"/>
      <c r="J35" s="248"/>
    </row>
    <row r="36" spans="2:10" x14ac:dyDescent="0.2">
      <c r="B36" s="421" t="s">
        <v>324</v>
      </c>
      <c r="C36" s="421"/>
      <c r="D36" s="421"/>
      <c r="E36" s="421"/>
      <c r="F36" s="421"/>
      <c r="G36" s="421"/>
      <c r="H36" s="421"/>
      <c r="I36" s="421"/>
      <c r="J36" s="244"/>
    </row>
    <row r="37" spans="2:10" x14ac:dyDescent="0.2">
      <c r="B37" s="421" t="s">
        <v>325</v>
      </c>
      <c r="C37" s="421"/>
      <c r="D37" s="421"/>
      <c r="E37" s="421"/>
      <c r="F37" s="421"/>
      <c r="G37" s="421"/>
      <c r="H37" s="421"/>
      <c r="I37" s="421"/>
      <c r="J37" s="244"/>
    </row>
    <row r="38" spans="2:10" x14ac:dyDescent="0.2">
      <c r="B38" s="421" t="s">
        <v>326</v>
      </c>
      <c r="C38" s="421"/>
      <c r="D38" s="421"/>
      <c r="E38" s="421"/>
      <c r="F38" s="421"/>
      <c r="G38" s="421"/>
      <c r="H38" s="421"/>
      <c r="I38" s="421"/>
      <c r="J38" s="99"/>
    </row>
    <row r="39" spans="2:10" x14ac:dyDescent="0.2">
      <c r="B39" s="421" t="s">
        <v>327</v>
      </c>
      <c r="C39" s="421"/>
      <c r="D39" s="421"/>
      <c r="E39" s="421"/>
      <c r="F39" s="421"/>
      <c r="G39" s="421"/>
      <c r="H39" s="421"/>
      <c r="I39" s="421"/>
      <c r="J39" s="99"/>
    </row>
    <row r="40" spans="2:10" ht="12" customHeight="1" x14ac:dyDescent="0.2">
      <c r="B40" s="420" t="s">
        <v>328</v>
      </c>
      <c r="C40" s="420"/>
      <c r="D40" s="420"/>
      <c r="E40" s="420"/>
      <c r="F40" s="420"/>
      <c r="G40" s="420"/>
      <c r="H40" s="420"/>
      <c r="I40" s="420"/>
      <c r="J40" s="99"/>
    </row>
    <row r="41" spans="2:10" x14ac:dyDescent="0.2">
      <c r="J41" s="107" t="s">
        <v>177</v>
      </c>
    </row>
  </sheetData>
  <mergeCells count="9">
    <mergeCell ref="B38:I38"/>
    <mergeCell ref="B39:I39"/>
    <mergeCell ref="B40:I40"/>
    <mergeCell ref="B3:G3"/>
    <mergeCell ref="B4:B5"/>
    <mergeCell ref="C4:F4"/>
    <mergeCell ref="G4:J4"/>
    <mergeCell ref="B36:I36"/>
    <mergeCell ref="B37:I37"/>
  </mergeCells>
  <hyperlinks>
    <hyperlink ref="J41" location="Inhaltsverzeichnis!A1" display="› Zurück zum Inhaltsverzeichnis" xr:uid="{0CDF0EBC-CC65-40B4-907D-87A079C64DC1}"/>
  </hyperlinks>
  <pageMargins left="0.7" right="0.7" top="0.78740157499999996" bottom="0.78740157499999996"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37D3D-2DE7-446B-B7F6-A72B5546CC97}">
  <dimension ref="A1:L92"/>
  <sheetViews>
    <sheetView topLeftCell="A75" zoomScaleNormal="100" workbookViewId="0">
      <selection activeCell="K66" sqref="K66"/>
    </sheetView>
  </sheetViews>
  <sheetFormatPr baseColWidth="10" defaultColWidth="10.875" defaultRowHeight="11.4" x14ac:dyDescent="0.2"/>
  <cols>
    <col min="1" max="1" width="2.75" style="122" customWidth="1"/>
    <col min="2" max="2" width="18.875" style="122" bestFit="1" customWidth="1"/>
    <col min="3" max="3" width="4" style="122" bestFit="1" customWidth="1"/>
    <col min="4" max="10" width="15.375" style="122" customWidth="1"/>
    <col min="11" max="16384" width="10.875" style="122"/>
  </cols>
  <sheetData>
    <row r="1" spans="1:12" s="4" customFormat="1" ht="13.8" x14ac:dyDescent="0.2">
      <c r="B1" s="40"/>
      <c r="D1" s="41"/>
    </row>
    <row r="2" spans="1:12" s="203" customFormat="1" ht="20.100000000000001" customHeight="1" x14ac:dyDescent="0.25">
      <c r="A2" s="201"/>
      <c r="B2" s="253" t="s">
        <v>44</v>
      </c>
      <c r="D2" s="254"/>
    </row>
    <row r="3" spans="1:12" s="80" customFormat="1" ht="50.25" customHeight="1" x14ac:dyDescent="0.2">
      <c r="A3" s="65"/>
      <c r="B3" s="381" t="s">
        <v>329</v>
      </c>
      <c r="C3" s="381"/>
      <c r="D3" s="381"/>
      <c r="E3" s="381"/>
      <c r="F3" s="381"/>
      <c r="G3" s="381"/>
      <c r="H3" s="381"/>
      <c r="I3" s="381"/>
      <c r="J3" s="381"/>
    </row>
    <row r="4" spans="1:12" ht="13.2" x14ac:dyDescent="0.25">
      <c r="F4" s="159"/>
      <c r="G4" s="159"/>
      <c r="H4" s="159"/>
    </row>
    <row r="5" spans="1:12" ht="13.8" x14ac:dyDescent="0.25">
      <c r="D5" s="156" t="str">
        <f>B3</f>
        <v>Grafik 3: Gewerbeanzeigen¹ in Schleswig-Holstein 2000 – 2024</v>
      </c>
      <c r="F5" s="159"/>
      <c r="G5" s="159"/>
      <c r="H5" s="159"/>
      <c r="I5" s="255"/>
    </row>
    <row r="6" spans="1:12" ht="13.2" x14ac:dyDescent="0.25">
      <c r="F6" s="159"/>
      <c r="G6" s="159"/>
      <c r="H6" s="159"/>
    </row>
    <row r="7" spans="1:12" ht="12.75" customHeight="1" x14ac:dyDescent="0.25">
      <c r="B7" s="256"/>
      <c r="F7" s="4"/>
      <c r="G7" s="4"/>
      <c r="H7" s="4"/>
    </row>
    <row r="8" spans="1:12" x14ac:dyDescent="0.2">
      <c r="B8" s="257"/>
      <c r="F8" s="4"/>
      <c r="G8" s="4"/>
      <c r="H8" s="4"/>
    </row>
    <row r="9" spans="1:12" x14ac:dyDescent="0.2">
      <c r="B9" s="257"/>
      <c r="F9" s="4"/>
      <c r="G9" s="4"/>
      <c r="H9" s="4"/>
    </row>
    <row r="10" spans="1:12" x14ac:dyDescent="0.2">
      <c r="B10" s="257"/>
      <c r="F10" s="4"/>
      <c r="G10" s="4"/>
      <c r="H10" s="4"/>
    </row>
    <row r="11" spans="1:12" ht="12" x14ac:dyDescent="0.25">
      <c r="B11" s="257"/>
      <c r="F11" s="4"/>
      <c r="G11" s="4"/>
      <c r="H11" s="4"/>
      <c r="L11" s="258"/>
    </row>
    <row r="12" spans="1:12" ht="12" x14ac:dyDescent="0.25">
      <c r="B12" s="257"/>
      <c r="F12" s="259"/>
      <c r="G12" s="4"/>
      <c r="H12" s="4"/>
      <c r="L12" s="255"/>
    </row>
    <row r="13" spans="1:12" ht="12" x14ac:dyDescent="0.25">
      <c r="F13" s="127"/>
      <c r="G13" s="260"/>
      <c r="H13" s="4"/>
      <c r="L13" s="255"/>
    </row>
    <row r="14" spans="1:12" x14ac:dyDescent="0.2">
      <c r="F14" s="127"/>
      <c r="G14" s="260"/>
      <c r="H14" s="4"/>
    </row>
    <row r="15" spans="1:12" x14ac:dyDescent="0.2">
      <c r="F15" s="127"/>
      <c r="G15" s="260"/>
      <c r="H15" s="4"/>
    </row>
    <row r="16" spans="1:12" x14ac:dyDescent="0.2">
      <c r="F16" s="127"/>
      <c r="G16" s="260"/>
      <c r="H16" s="4"/>
    </row>
    <row r="17" spans="6:8" x14ac:dyDescent="0.2">
      <c r="F17" s="127"/>
      <c r="G17" s="260"/>
      <c r="H17" s="4"/>
    </row>
    <row r="18" spans="6:8" x14ac:dyDescent="0.2">
      <c r="F18" s="127"/>
      <c r="G18" s="260"/>
      <c r="H18" s="4"/>
    </row>
    <row r="19" spans="6:8" x14ac:dyDescent="0.2">
      <c r="F19" s="127"/>
      <c r="G19" s="260"/>
      <c r="H19" s="4"/>
    </row>
    <row r="20" spans="6:8" x14ac:dyDescent="0.2">
      <c r="F20" s="127"/>
      <c r="G20" s="260"/>
      <c r="H20" s="4"/>
    </row>
    <row r="21" spans="6:8" x14ac:dyDescent="0.2">
      <c r="F21" s="127"/>
      <c r="G21" s="260"/>
      <c r="H21" s="4"/>
    </row>
    <row r="22" spans="6:8" x14ac:dyDescent="0.2">
      <c r="F22" s="127"/>
      <c r="G22" s="260"/>
      <c r="H22" s="4"/>
    </row>
    <row r="23" spans="6:8" x14ac:dyDescent="0.2">
      <c r="F23" s="127"/>
      <c r="G23" s="260"/>
      <c r="H23" s="4"/>
    </row>
    <row r="24" spans="6:8" x14ac:dyDescent="0.2">
      <c r="F24" s="127"/>
      <c r="G24" s="260"/>
      <c r="H24" s="4"/>
    </row>
    <row r="25" spans="6:8" x14ac:dyDescent="0.2">
      <c r="F25" s="127"/>
      <c r="G25" s="260"/>
      <c r="H25" s="4"/>
    </row>
    <row r="26" spans="6:8" x14ac:dyDescent="0.2">
      <c r="F26" s="127"/>
      <c r="G26" s="260"/>
      <c r="H26" s="4"/>
    </row>
    <row r="27" spans="6:8" x14ac:dyDescent="0.2">
      <c r="F27" s="127"/>
      <c r="G27" s="260"/>
      <c r="H27" s="4"/>
    </row>
    <row r="28" spans="6:8" x14ac:dyDescent="0.2">
      <c r="F28" s="127"/>
      <c r="G28" s="260"/>
      <c r="H28" s="4"/>
    </row>
    <row r="29" spans="6:8" x14ac:dyDescent="0.2">
      <c r="F29" s="127"/>
      <c r="G29" s="260"/>
      <c r="H29" s="4"/>
    </row>
    <row r="30" spans="6:8" x14ac:dyDescent="0.2">
      <c r="F30" s="127"/>
      <c r="G30" s="260"/>
      <c r="H30" s="4"/>
    </row>
    <row r="31" spans="6:8" x14ac:dyDescent="0.2">
      <c r="F31" s="127"/>
      <c r="G31" s="260"/>
      <c r="H31" s="4"/>
    </row>
    <row r="32" spans="6:8" x14ac:dyDescent="0.2">
      <c r="F32" s="127"/>
      <c r="G32" s="260"/>
      <c r="H32" s="4"/>
    </row>
    <row r="33" spans="5:10" x14ac:dyDescent="0.2">
      <c r="F33" s="127"/>
      <c r="G33" s="260"/>
      <c r="H33" s="4"/>
    </row>
    <row r="34" spans="5:10" x14ac:dyDescent="0.2">
      <c r="F34" s="127"/>
      <c r="G34" s="260"/>
      <c r="H34" s="4"/>
    </row>
    <row r="35" spans="5:10" x14ac:dyDescent="0.2">
      <c r="F35" s="127"/>
      <c r="G35" s="260"/>
      <c r="H35" s="4"/>
    </row>
    <row r="36" spans="5:10" x14ac:dyDescent="0.2">
      <c r="F36" s="127"/>
      <c r="G36" s="260"/>
      <c r="H36" s="4"/>
    </row>
    <row r="37" spans="5:10" x14ac:dyDescent="0.2">
      <c r="F37" s="127"/>
      <c r="G37" s="260"/>
      <c r="H37" s="4"/>
    </row>
    <row r="38" spans="5:10" x14ac:dyDescent="0.2">
      <c r="F38" s="127"/>
      <c r="G38" s="260"/>
      <c r="H38" s="4"/>
    </row>
    <row r="39" spans="5:10" x14ac:dyDescent="0.2">
      <c r="F39" s="127"/>
      <c r="G39" s="260"/>
      <c r="H39" s="4"/>
    </row>
    <row r="40" spans="5:10" x14ac:dyDescent="0.2">
      <c r="F40" s="127"/>
      <c r="G40" s="260"/>
      <c r="H40" s="4"/>
    </row>
    <row r="41" spans="5:10" x14ac:dyDescent="0.2">
      <c r="F41" s="127"/>
      <c r="G41" s="260"/>
      <c r="H41" s="4"/>
    </row>
    <row r="42" spans="5:10" x14ac:dyDescent="0.2">
      <c r="F42" s="127"/>
      <c r="G42" s="260"/>
      <c r="H42" s="4"/>
    </row>
    <row r="43" spans="5:10" x14ac:dyDescent="0.2">
      <c r="F43" s="127"/>
      <c r="G43" s="260"/>
      <c r="H43" s="4"/>
    </row>
    <row r="44" spans="5:10" x14ac:dyDescent="0.2">
      <c r="E44" s="4"/>
      <c r="F44" s="4"/>
      <c r="G44" s="4"/>
      <c r="H44" s="4"/>
      <c r="J44" s="4"/>
    </row>
    <row r="45" spans="5:10" x14ac:dyDescent="0.2">
      <c r="E45" s="4"/>
      <c r="F45" s="4"/>
      <c r="G45" s="4"/>
      <c r="H45" s="4"/>
      <c r="J45" s="4"/>
    </row>
    <row r="56" spans="2:10" ht="13.8" x14ac:dyDescent="0.2">
      <c r="B56" s="123"/>
      <c r="C56" s="129"/>
      <c r="D56" s="156" t="str">
        <f>B3</f>
        <v>Grafik 3: Gewerbeanzeigen¹ in Schleswig-Holstein 2000 – 2024</v>
      </c>
      <c r="F56" s="4"/>
      <c r="G56" s="4"/>
      <c r="H56" s="4"/>
      <c r="I56" s="156"/>
    </row>
    <row r="57" spans="2:10" ht="13.8" x14ac:dyDescent="0.2">
      <c r="B57" s="160"/>
      <c r="D57" s="161"/>
      <c r="I57" s="161"/>
    </row>
    <row r="58" spans="2:10" ht="22.65" customHeight="1" x14ac:dyDescent="0.2">
      <c r="D58" s="415" t="s">
        <v>0</v>
      </c>
      <c r="E58" s="416" t="s">
        <v>315</v>
      </c>
      <c r="F58" s="416"/>
      <c r="G58" s="416"/>
      <c r="H58" s="416" t="s">
        <v>316</v>
      </c>
      <c r="I58" s="416"/>
      <c r="J58" s="426"/>
    </row>
    <row r="59" spans="2:10" ht="29.25" customHeight="1" x14ac:dyDescent="0.2">
      <c r="D59" s="415"/>
      <c r="E59" s="197" t="s">
        <v>330</v>
      </c>
      <c r="F59" s="205" t="s">
        <v>318</v>
      </c>
      <c r="G59" s="200" t="s">
        <v>331</v>
      </c>
      <c r="H59" s="197" t="s">
        <v>332</v>
      </c>
      <c r="I59" s="205" t="s">
        <v>321</v>
      </c>
      <c r="J59" s="198" t="s">
        <v>333</v>
      </c>
    </row>
    <row r="60" spans="2:10" ht="15" customHeight="1" x14ac:dyDescent="0.2">
      <c r="D60" s="250">
        <v>2000</v>
      </c>
      <c r="E60" s="230">
        <v>22620</v>
      </c>
      <c r="F60" s="230">
        <v>1606</v>
      </c>
      <c r="G60" s="230">
        <v>3798</v>
      </c>
      <c r="H60" s="230">
        <v>17980</v>
      </c>
      <c r="I60" s="230">
        <v>2612</v>
      </c>
      <c r="J60" s="230">
        <v>3332</v>
      </c>
    </row>
    <row r="61" spans="2:10" ht="15" customHeight="1" x14ac:dyDescent="0.2">
      <c r="D61" s="250">
        <v>2001</v>
      </c>
      <c r="E61" s="230">
        <v>22133</v>
      </c>
      <c r="F61" s="230">
        <v>1329</v>
      </c>
      <c r="G61" s="230">
        <v>3594</v>
      </c>
      <c r="H61" s="230">
        <v>17815</v>
      </c>
      <c r="I61" s="230">
        <v>2338</v>
      </c>
      <c r="J61" s="230">
        <v>3535</v>
      </c>
    </row>
    <row r="62" spans="2:10" ht="15" customHeight="1" x14ac:dyDescent="0.2">
      <c r="D62" s="250">
        <v>2002</v>
      </c>
      <c r="E62" s="230">
        <v>22491</v>
      </c>
      <c r="F62" s="230">
        <v>1672</v>
      </c>
      <c r="G62" s="230">
        <v>3608</v>
      </c>
      <c r="H62" s="230">
        <v>18260</v>
      </c>
      <c r="I62" s="230">
        <v>2356</v>
      </c>
      <c r="J62" s="230">
        <v>3313</v>
      </c>
    </row>
    <row r="63" spans="2:10" ht="15" customHeight="1" x14ac:dyDescent="0.2">
      <c r="D63" s="250">
        <v>2003</v>
      </c>
      <c r="E63" s="230">
        <v>25624</v>
      </c>
      <c r="F63" s="230">
        <v>2593</v>
      </c>
      <c r="G63" s="230">
        <v>3370</v>
      </c>
      <c r="H63" s="230">
        <v>17944</v>
      </c>
      <c r="I63" s="230">
        <v>2684</v>
      </c>
      <c r="J63" s="230">
        <v>3026</v>
      </c>
    </row>
    <row r="64" spans="2:10" ht="15" customHeight="1" x14ac:dyDescent="0.2">
      <c r="D64" s="250">
        <v>2004</v>
      </c>
      <c r="E64" s="230">
        <v>30135</v>
      </c>
      <c r="F64" s="230">
        <v>2874</v>
      </c>
      <c r="G64" s="230">
        <v>3350</v>
      </c>
      <c r="H64" s="230">
        <v>18633</v>
      </c>
      <c r="I64" s="230">
        <v>2861</v>
      </c>
      <c r="J64" s="230">
        <v>2842</v>
      </c>
    </row>
    <row r="65" spans="4:10" ht="15" customHeight="1" x14ac:dyDescent="0.2">
      <c r="D65" s="250">
        <v>2005</v>
      </c>
      <c r="E65" s="230">
        <v>26140</v>
      </c>
      <c r="F65" s="230">
        <v>3111</v>
      </c>
      <c r="G65" s="230">
        <v>2968</v>
      </c>
      <c r="H65" s="230">
        <v>20051</v>
      </c>
      <c r="I65" s="230">
        <v>3084</v>
      </c>
      <c r="J65" s="230">
        <v>2849</v>
      </c>
    </row>
    <row r="66" spans="4:10" ht="15" customHeight="1" x14ac:dyDescent="0.2">
      <c r="D66" s="250">
        <v>2006</v>
      </c>
      <c r="E66" s="230">
        <v>26444</v>
      </c>
      <c r="F66" s="230">
        <v>3557</v>
      </c>
      <c r="G66" s="230">
        <v>2846</v>
      </c>
      <c r="H66" s="230">
        <v>20185</v>
      </c>
      <c r="I66" s="230">
        <v>3130</v>
      </c>
      <c r="J66" s="230">
        <v>2501</v>
      </c>
    </row>
    <row r="67" spans="4:10" ht="15" customHeight="1" x14ac:dyDescent="0.2">
      <c r="D67" s="250">
        <v>2007</v>
      </c>
      <c r="E67" s="230">
        <v>24775</v>
      </c>
      <c r="F67" s="230">
        <v>3330</v>
      </c>
      <c r="G67" s="230">
        <v>2676</v>
      </c>
      <c r="H67" s="230">
        <v>19635</v>
      </c>
      <c r="I67" s="230">
        <v>3000</v>
      </c>
      <c r="J67" s="230">
        <v>2291</v>
      </c>
    </row>
    <row r="68" spans="4:10" ht="15" customHeight="1" x14ac:dyDescent="0.2">
      <c r="D68" s="250">
        <v>2008</v>
      </c>
      <c r="E68" s="230">
        <v>24884</v>
      </c>
      <c r="F68" s="230">
        <v>3560</v>
      </c>
      <c r="G68" s="230">
        <v>2630</v>
      </c>
      <c r="H68" s="230">
        <v>20128</v>
      </c>
      <c r="I68" s="230">
        <v>3022</v>
      </c>
      <c r="J68" s="230">
        <v>2373</v>
      </c>
    </row>
    <row r="69" spans="4:10" ht="15" customHeight="1" x14ac:dyDescent="0.2">
      <c r="D69" s="250">
        <v>2009</v>
      </c>
      <c r="E69" s="230">
        <v>26499</v>
      </c>
      <c r="F69" s="230">
        <v>3245</v>
      </c>
      <c r="G69" s="230">
        <v>2527</v>
      </c>
      <c r="H69" s="230">
        <v>21151</v>
      </c>
      <c r="I69" s="230">
        <v>3186</v>
      </c>
      <c r="J69" s="230">
        <v>2286</v>
      </c>
    </row>
    <row r="70" spans="4:10" ht="15" customHeight="1" x14ac:dyDescent="0.2">
      <c r="D70" s="250">
        <v>2010</v>
      </c>
      <c r="E70" s="230">
        <v>26806</v>
      </c>
      <c r="F70" s="230">
        <v>3541</v>
      </c>
      <c r="G70" s="230">
        <v>2371</v>
      </c>
      <c r="H70" s="230">
        <v>20578</v>
      </c>
      <c r="I70" s="230">
        <v>3263</v>
      </c>
      <c r="J70" s="230">
        <v>2143</v>
      </c>
    </row>
    <row r="71" spans="4:10" ht="15" customHeight="1" x14ac:dyDescent="0.2">
      <c r="D71" s="250">
        <v>2011</v>
      </c>
      <c r="E71" s="230">
        <v>24066</v>
      </c>
      <c r="F71" s="230">
        <v>3597</v>
      </c>
      <c r="G71" s="230">
        <v>2308</v>
      </c>
      <c r="H71" s="230">
        <v>20364</v>
      </c>
      <c r="I71" s="230">
        <v>3334</v>
      </c>
      <c r="J71" s="230">
        <v>2031</v>
      </c>
    </row>
    <row r="72" spans="4:10" ht="15" customHeight="1" x14ac:dyDescent="0.2">
      <c r="D72" s="250">
        <v>2012</v>
      </c>
      <c r="E72" s="230">
        <v>21948</v>
      </c>
      <c r="F72" s="230">
        <v>3688</v>
      </c>
      <c r="G72" s="230">
        <v>2092</v>
      </c>
      <c r="H72" s="230">
        <v>20027</v>
      </c>
      <c r="I72" s="230">
        <v>3254</v>
      </c>
      <c r="J72" s="230">
        <v>1914</v>
      </c>
    </row>
    <row r="73" spans="4:10" ht="15" customHeight="1" x14ac:dyDescent="0.2">
      <c r="D73" s="250">
        <v>2013</v>
      </c>
      <c r="E73" s="230">
        <v>22013</v>
      </c>
      <c r="F73" s="230">
        <v>3757</v>
      </c>
      <c r="G73" s="230">
        <v>1969</v>
      </c>
      <c r="H73" s="230">
        <v>19975</v>
      </c>
      <c r="I73" s="230">
        <v>3190</v>
      </c>
      <c r="J73" s="230">
        <v>1906</v>
      </c>
    </row>
    <row r="74" spans="4:10" ht="15" customHeight="1" x14ac:dyDescent="0.2">
      <c r="D74" s="250">
        <v>2014</v>
      </c>
      <c r="E74" s="230">
        <v>21509</v>
      </c>
      <c r="F74" s="230">
        <v>3962</v>
      </c>
      <c r="G74" s="230">
        <v>1955</v>
      </c>
      <c r="H74" s="230">
        <v>21971</v>
      </c>
      <c r="I74" s="230">
        <v>3468</v>
      </c>
      <c r="J74" s="230">
        <v>1963</v>
      </c>
    </row>
    <row r="75" spans="4:10" ht="15" customHeight="1" x14ac:dyDescent="0.2">
      <c r="D75" s="250">
        <v>2015</v>
      </c>
      <c r="E75" s="230">
        <v>20698</v>
      </c>
      <c r="F75" s="230">
        <v>3800</v>
      </c>
      <c r="G75" s="230">
        <v>1885</v>
      </c>
      <c r="H75" s="230">
        <v>20280</v>
      </c>
      <c r="I75" s="230">
        <v>3494</v>
      </c>
      <c r="J75" s="230">
        <v>1827</v>
      </c>
    </row>
    <row r="76" spans="4:10" ht="15" customHeight="1" x14ac:dyDescent="0.2">
      <c r="D76" s="250">
        <v>2016</v>
      </c>
      <c r="E76" s="230">
        <v>20075</v>
      </c>
      <c r="F76" s="230">
        <v>3632</v>
      </c>
      <c r="G76" s="230">
        <v>1976</v>
      </c>
      <c r="H76" s="230">
        <v>20252</v>
      </c>
      <c r="I76" s="230">
        <v>3098</v>
      </c>
      <c r="J76" s="230">
        <v>1839</v>
      </c>
    </row>
    <row r="77" spans="4:10" ht="15" customHeight="1" x14ac:dyDescent="0.2">
      <c r="D77" s="250">
        <v>2017</v>
      </c>
      <c r="E77" s="230">
        <v>20008</v>
      </c>
      <c r="F77" s="230">
        <v>3590</v>
      </c>
      <c r="G77" s="230">
        <v>1963</v>
      </c>
      <c r="H77" s="230">
        <v>19234</v>
      </c>
      <c r="I77" s="230">
        <v>3240</v>
      </c>
      <c r="J77" s="230">
        <v>1943</v>
      </c>
    </row>
    <row r="78" spans="4:10" ht="15" customHeight="1" x14ac:dyDescent="0.2">
      <c r="D78" s="250">
        <v>2018</v>
      </c>
      <c r="E78" s="230">
        <v>19413</v>
      </c>
      <c r="F78" s="230">
        <v>3484</v>
      </c>
      <c r="G78" s="230">
        <v>1855</v>
      </c>
      <c r="H78" s="230">
        <v>18633</v>
      </c>
      <c r="I78" s="230">
        <v>3079</v>
      </c>
      <c r="J78" s="230">
        <v>1833</v>
      </c>
    </row>
    <row r="79" spans="4:10" ht="15" customHeight="1" x14ac:dyDescent="0.2">
      <c r="D79" s="250">
        <v>2019</v>
      </c>
      <c r="E79" s="230">
        <v>20501</v>
      </c>
      <c r="F79" s="230">
        <v>3625</v>
      </c>
      <c r="G79" s="230">
        <v>1889</v>
      </c>
      <c r="H79" s="230">
        <v>18245</v>
      </c>
      <c r="I79" s="230">
        <v>3065</v>
      </c>
      <c r="J79" s="230">
        <v>1883</v>
      </c>
    </row>
    <row r="80" spans="4:10" ht="15" customHeight="1" x14ac:dyDescent="0.2">
      <c r="D80" s="250">
        <v>2020</v>
      </c>
      <c r="E80" s="230">
        <v>19811</v>
      </c>
      <c r="F80" s="230">
        <v>3372</v>
      </c>
      <c r="G80" s="230">
        <v>1949</v>
      </c>
      <c r="H80" s="230">
        <v>16419</v>
      </c>
      <c r="I80" s="230">
        <v>2928</v>
      </c>
      <c r="J80" s="230">
        <v>1849</v>
      </c>
    </row>
    <row r="81" spans="4:10" ht="15" customHeight="1" x14ac:dyDescent="0.2">
      <c r="D81" s="250">
        <v>2021</v>
      </c>
      <c r="E81" s="230">
        <v>21433</v>
      </c>
      <c r="F81" s="230">
        <v>3319</v>
      </c>
      <c r="G81" s="230">
        <v>1972</v>
      </c>
      <c r="H81" s="230">
        <v>15957</v>
      </c>
      <c r="I81" s="230">
        <v>3042</v>
      </c>
      <c r="J81" s="230">
        <v>1854</v>
      </c>
    </row>
    <row r="82" spans="4:10" ht="15" customHeight="1" x14ac:dyDescent="0.2">
      <c r="D82" s="250">
        <v>2022</v>
      </c>
      <c r="E82" s="230">
        <v>20411</v>
      </c>
      <c r="F82" s="230">
        <v>3338</v>
      </c>
      <c r="G82" s="230">
        <v>1967</v>
      </c>
      <c r="H82" s="230">
        <v>17109</v>
      </c>
      <c r="I82" s="230">
        <v>2810</v>
      </c>
      <c r="J82" s="230">
        <v>1792</v>
      </c>
    </row>
    <row r="83" spans="4:10" ht="15" customHeight="1" x14ac:dyDescent="0.2">
      <c r="D83" s="250" t="s">
        <v>323</v>
      </c>
      <c r="E83" s="230">
        <v>21448</v>
      </c>
      <c r="F83" s="230">
        <v>3479</v>
      </c>
      <c r="G83" s="230">
        <v>2133</v>
      </c>
      <c r="H83" s="230">
        <v>17494</v>
      </c>
      <c r="I83" s="230">
        <v>2999</v>
      </c>
      <c r="J83" s="230">
        <v>1802</v>
      </c>
    </row>
    <row r="84" spans="4:10" ht="15" customHeight="1" x14ac:dyDescent="0.2">
      <c r="D84" s="251">
        <v>2024</v>
      </c>
      <c r="E84" s="236">
        <v>21556</v>
      </c>
      <c r="F84" s="236">
        <v>3502</v>
      </c>
      <c r="G84" s="236">
        <v>2119</v>
      </c>
      <c r="H84" s="236">
        <v>19124</v>
      </c>
      <c r="I84" s="236">
        <v>3213</v>
      </c>
      <c r="J84" s="236">
        <v>1964</v>
      </c>
    </row>
    <row r="85" spans="4:10" x14ac:dyDescent="0.2">
      <c r="D85" s="261"/>
      <c r="E85" s="262"/>
      <c r="F85" s="262"/>
      <c r="G85" s="262"/>
      <c r="H85" s="262"/>
      <c r="I85" s="262"/>
      <c r="J85" s="262"/>
    </row>
    <row r="86" spans="4:10" x14ac:dyDescent="0.2">
      <c r="D86" s="429" t="s">
        <v>324</v>
      </c>
      <c r="E86" s="429"/>
      <c r="F86" s="429"/>
      <c r="G86" s="429"/>
      <c r="H86" s="429"/>
      <c r="I86" s="429"/>
      <c r="J86" s="429"/>
    </row>
    <row r="87" spans="4:10" x14ac:dyDescent="0.2">
      <c r="D87" s="429" t="s">
        <v>325</v>
      </c>
      <c r="E87" s="429"/>
      <c r="F87" s="429"/>
      <c r="G87" s="429"/>
      <c r="H87" s="429"/>
      <c r="I87" s="429"/>
      <c r="J87" s="429"/>
    </row>
    <row r="88" spans="4:10" x14ac:dyDescent="0.2">
      <c r="D88" s="263" t="s">
        <v>326</v>
      </c>
      <c r="E88" s="139"/>
      <c r="F88" s="139"/>
      <c r="G88" s="139"/>
      <c r="H88" s="139"/>
      <c r="I88" s="139"/>
      <c r="J88" s="139"/>
    </row>
    <row r="89" spans="4:10" x14ac:dyDescent="0.2">
      <c r="D89" s="263" t="s">
        <v>327</v>
      </c>
      <c r="E89" s="139"/>
      <c r="F89" s="139"/>
      <c r="G89" s="139"/>
      <c r="H89" s="139"/>
      <c r="I89" s="139"/>
      <c r="J89" s="139"/>
    </row>
    <row r="90" spans="4:10" x14ac:dyDescent="0.2">
      <c r="D90" s="263" t="s">
        <v>334</v>
      </c>
      <c r="E90" s="139"/>
      <c r="F90" s="139"/>
      <c r="G90" s="139"/>
      <c r="H90" s="139"/>
      <c r="I90" s="139"/>
      <c r="J90" s="139"/>
    </row>
    <row r="91" spans="4:10" ht="12" customHeight="1" x14ac:dyDescent="0.2"/>
    <row r="92" spans="4:10" x14ac:dyDescent="0.2">
      <c r="J92" s="369" t="s">
        <v>178</v>
      </c>
    </row>
  </sheetData>
  <mergeCells count="6">
    <mergeCell ref="D87:J87"/>
    <mergeCell ref="B3:J3"/>
    <mergeCell ref="D58:D59"/>
    <mergeCell ref="E58:G58"/>
    <mergeCell ref="H58:J58"/>
    <mergeCell ref="D86:J86"/>
  </mergeCells>
  <hyperlinks>
    <hyperlink ref="J92" location="Inhaltsverzeichnis!A1" display="› Zurück zum Inhaltsverzeichnis" xr:uid="{0CBAFAD4-2999-4EF9-9F76-B6F5C88BF880}"/>
  </hyperlinks>
  <pageMargins left="0.7" right="0.7" top="0.78740157499999996" bottom="0.78740157499999996" header="0.3" footer="0.3"/>
  <pageSetup paperSize="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9C0DF-7D0C-4275-9874-370C158A506E}">
  <dimension ref="A1:J71"/>
  <sheetViews>
    <sheetView zoomScaleNormal="100" workbookViewId="0">
      <pane ySplit="6" topLeftCell="A7" activePane="bottomLeft" state="frozen"/>
      <selection pane="bottomLeft" activeCell="E59" sqref="E59"/>
    </sheetView>
  </sheetViews>
  <sheetFormatPr baseColWidth="10" defaultColWidth="11.375" defaultRowHeight="11.4" x14ac:dyDescent="0.2"/>
  <cols>
    <col min="1" max="1" width="2.75" customWidth="1"/>
    <col min="2" max="2" width="7.125" customWidth="1"/>
    <col min="3" max="3" width="94" customWidth="1"/>
    <col min="4" max="4" width="12.75" customWidth="1"/>
    <col min="5" max="5" width="12.75" style="283" customWidth="1"/>
    <col min="6" max="6" width="14.875" customWidth="1"/>
    <col min="7" max="7" width="12.75" customWidth="1"/>
    <col min="8" max="8" width="12.75" style="283" customWidth="1"/>
    <col min="9" max="9" width="12.75" customWidth="1"/>
  </cols>
  <sheetData>
    <row r="1" spans="1:9" s="4" customFormat="1" ht="13.8" x14ac:dyDescent="0.2">
      <c r="C1" s="40"/>
      <c r="E1" s="41"/>
    </row>
    <row r="2" spans="1:9" s="203" customFormat="1" ht="20.100000000000001" customHeight="1" x14ac:dyDescent="0.25">
      <c r="A2" s="201"/>
      <c r="B2" s="202" t="s">
        <v>44</v>
      </c>
      <c r="C2" s="202"/>
      <c r="D2" s="202"/>
      <c r="E2" s="202"/>
      <c r="F2" s="202"/>
      <c r="G2" s="202"/>
    </row>
    <row r="3" spans="1:9" s="80" customFormat="1" ht="50.25" customHeight="1" x14ac:dyDescent="0.2">
      <c r="A3" s="65"/>
      <c r="B3" s="381" t="s">
        <v>335</v>
      </c>
      <c r="C3" s="381"/>
      <c r="D3" s="381"/>
      <c r="E3" s="381"/>
      <c r="F3" s="381"/>
      <c r="G3" s="381"/>
      <c r="H3" s="381"/>
      <c r="I3" s="381"/>
    </row>
    <row r="4" spans="1:9" ht="20.100000000000001" customHeight="1" x14ac:dyDescent="0.2">
      <c r="A4" s="204"/>
      <c r="B4" s="415" t="s">
        <v>336</v>
      </c>
      <c r="C4" s="416" t="s">
        <v>337</v>
      </c>
      <c r="D4" s="430" t="s">
        <v>315</v>
      </c>
      <c r="E4" s="430"/>
      <c r="F4" s="430"/>
      <c r="G4" s="430" t="s">
        <v>316</v>
      </c>
      <c r="H4" s="430"/>
      <c r="I4" s="431"/>
    </row>
    <row r="5" spans="1:9" ht="30.75" customHeight="1" x14ac:dyDescent="0.2">
      <c r="A5" s="204"/>
      <c r="B5" s="415"/>
      <c r="C5" s="416"/>
      <c r="D5" s="411" t="s">
        <v>14</v>
      </c>
      <c r="E5" s="411"/>
      <c r="F5" s="200" t="s">
        <v>338</v>
      </c>
      <c r="G5" s="411" t="s">
        <v>14</v>
      </c>
      <c r="H5" s="411"/>
      <c r="I5" s="198" t="s">
        <v>339</v>
      </c>
    </row>
    <row r="6" spans="1:9" ht="34.200000000000003" x14ac:dyDescent="0.2">
      <c r="A6" s="204"/>
      <c r="B6" s="415"/>
      <c r="C6" s="416"/>
      <c r="D6" s="207" t="s">
        <v>340</v>
      </c>
      <c r="E6" s="264" t="s">
        <v>341</v>
      </c>
      <c r="F6" s="432" t="s">
        <v>340</v>
      </c>
      <c r="G6" s="432"/>
      <c r="H6" s="264" t="s">
        <v>341</v>
      </c>
      <c r="I6" s="208" t="s">
        <v>340</v>
      </c>
    </row>
    <row r="7" spans="1:9" ht="15" customHeight="1" x14ac:dyDescent="0.25">
      <c r="A7" s="204"/>
      <c r="B7" s="215" t="s">
        <v>342</v>
      </c>
      <c r="C7" s="265" t="s">
        <v>343</v>
      </c>
      <c r="D7" s="266">
        <v>288</v>
      </c>
      <c r="E7" s="273">
        <v>4.3</v>
      </c>
      <c r="F7" s="267">
        <v>236</v>
      </c>
      <c r="G7" s="267">
        <v>240</v>
      </c>
      <c r="H7" s="273">
        <v>16.5</v>
      </c>
      <c r="I7" s="266">
        <v>200</v>
      </c>
    </row>
    <row r="8" spans="1:9" ht="15" customHeight="1" x14ac:dyDescent="0.25">
      <c r="A8" s="204"/>
      <c r="B8" s="215" t="s">
        <v>229</v>
      </c>
      <c r="C8" s="238" t="s">
        <v>230</v>
      </c>
      <c r="D8" s="266">
        <v>3</v>
      </c>
      <c r="E8" s="273">
        <v>-25</v>
      </c>
      <c r="F8" s="267">
        <v>1</v>
      </c>
      <c r="G8" s="267">
        <v>8</v>
      </c>
      <c r="H8" s="273">
        <v>33.299999999999997</v>
      </c>
      <c r="I8" s="266">
        <v>5</v>
      </c>
    </row>
    <row r="9" spans="1:9" ht="15" customHeight="1" x14ac:dyDescent="0.25">
      <c r="A9" s="204"/>
      <c r="B9" s="215" t="s">
        <v>231</v>
      </c>
      <c r="C9" s="238" t="s">
        <v>232</v>
      </c>
      <c r="D9" s="266">
        <v>1650</v>
      </c>
      <c r="E9" s="273">
        <v>1.9</v>
      </c>
      <c r="F9" s="267">
        <v>1386</v>
      </c>
      <c r="G9" s="267">
        <v>1333</v>
      </c>
      <c r="H9" s="273">
        <v>1.5</v>
      </c>
      <c r="I9" s="266">
        <v>1093</v>
      </c>
    </row>
    <row r="10" spans="1:9" ht="15" customHeight="1" x14ac:dyDescent="0.2">
      <c r="A10" s="204"/>
      <c r="B10" s="268">
        <v>10</v>
      </c>
      <c r="C10" s="210" t="s">
        <v>344</v>
      </c>
      <c r="D10" s="269">
        <v>104</v>
      </c>
      <c r="E10" s="271">
        <v>-8</v>
      </c>
      <c r="F10" s="270">
        <v>82</v>
      </c>
      <c r="G10" s="270">
        <v>98</v>
      </c>
      <c r="H10" s="271">
        <v>-31</v>
      </c>
      <c r="I10" s="269">
        <v>74</v>
      </c>
    </row>
    <row r="11" spans="1:9" ht="15" customHeight="1" x14ac:dyDescent="0.2">
      <c r="B11" s="268">
        <v>11</v>
      </c>
      <c r="C11" s="210" t="s">
        <v>345</v>
      </c>
      <c r="D11" s="269">
        <v>18</v>
      </c>
      <c r="E11" s="271">
        <v>38.5</v>
      </c>
      <c r="F11" s="270">
        <v>17</v>
      </c>
      <c r="G11" s="270">
        <v>9</v>
      </c>
      <c r="H11" s="271">
        <v>-18.2</v>
      </c>
      <c r="I11" s="269">
        <v>8</v>
      </c>
    </row>
    <row r="12" spans="1:9" ht="15" customHeight="1" x14ac:dyDescent="0.2">
      <c r="B12" s="268">
        <v>13</v>
      </c>
      <c r="C12" s="210" t="s">
        <v>346</v>
      </c>
      <c r="D12" s="269">
        <v>207</v>
      </c>
      <c r="E12" s="271">
        <v>19.7</v>
      </c>
      <c r="F12" s="270">
        <v>169</v>
      </c>
      <c r="G12" s="270">
        <v>175</v>
      </c>
      <c r="H12" s="271">
        <v>-4.4000000000000004</v>
      </c>
      <c r="I12" s="269">
        <v>148</v>
      </c>
    </row>
    <row r="13" spans="1:9" ht="15" customHeight="1" x14ac:dyDescent="0.2">
      <c r="B13" s="268">
        <v>14</v>
      </c>
      <c r="C13" s="210" t="s">
        <v>347</v>
      </c>
      <c r="D13" s="269">
        <v>102</v>
      </c>
      <c r="E13" s="271">
        <v>8.5</v>
      </c>
      <c r="F13" s="270">
        <v>89</v>
      </c>
      <c r="G13" s="270">
        <v>129</v>
      </c>
      <c r="H13" s="271">
        <v>2.4</v>
      </c>
      <c r="I13" s="269">
        <v>115</v>
      </c>
    </row>
    <row r="14" spans="1:9" ht="15" customHeight="1" x14ac:dyDescent="0.2">
      <c r="B14" s="268">
        <v>15</v>
      </c>
      <c r="C14" s="210" t="s">
        <v>348</v>
      </c>
      <c r="D14" s="269">
        <v>18</v>
      </c>
      <c r="E14" s="271">
        <v>-14.3</v>
      </c>
      <c r="F14" s="270">
        <v>17</v>
      </c>
      <c r="G14" s="270">
        <v>7</v>
      </c>
      <c r="H14" s="271">
        <v>-50</v>
      </c>
      <c r="I14" s="269">
        <v>7</v>
      </c>
    </row>
    <row r="15" spans="1:9" ht="15" customHeight="1" x14ac:dyDescent="0.2">
      <c r="B15" s="268">
        <v>16</v>
      </c>
      <c r="C15" s="210" t="s">
        <v>349</v>
      </c>
      <c r="D15" s="269">
        <v>56</v>
      </c>
      <c r="E15" s="271">
        <v>-17.600000000000001</v>
      </c>
      <c r="F15" s="270">
        <v>47</v>
      </c>
      <c r="G15" s="270">
        <v>33</v>
      </c>
      <c r="H15" s="271">
        <v>3.1</v>
      </c>
      <c r="I15" s="269">
        <v>31</v>
      </c>
    </row>
    <row r="16" spans="1:9" ht="15" customHeight="1" x14ac:dyDescent="0.2">
      <c r="B16" s="268">
        <v>18</v>
      </c>
      <c r="C16" s="210" t="s">
        <v>350</v>
      </c>
      <c r="D16" s="269">
        <v>110</v>
      </c>
      <c r="E16" s="271">
        <v>-17.899999999999999</v>
      </c>
      <c r="F16" s="270">
        <v>92</v>
      </c>
      <c r="G16" s="270">
        <v>104</v>
      </c>
      <c r="H16" s="271">
        <v>26.8</v>
      </c>
      <c r="I16" s="269">
        <v>84</v>
      </c>
    </row>
    <row r="17" spans="2:9" ht="15" customHeight="1" x14ac:dyDescent="0.2">
      <c r="B17" s="268">
        <v>20</v>
      </c>
      <c r="C17" s="210" t="s">
        <v>351</v>
      </c>
      <c r="D17" s="269">
        <v>20</v>
      </c>
      <c r="E17" s="271">
        <v>42.9</v>
      </c>
      <c r="F17" s="270">
        <v>14</v>
      </c>
      <c r="G17" s="270">
        <v>23</v>
      </c>
      <c r="H17" s="271">
        <v>27.8</v>
      </c>
      <c r="I17" s="269">
        <v>17</v>
      </c>
    </row>
    <row r="18" spans="2:9" ht="15" customHeight="1" x14ac:dyDescent="0.2">
      <c r="B18" s="268">
        <v>23</v>
      </c>
      <c r="C18" s="210" t="s">
        <v>352</v>
      </c>
      <c r="D18" s="269">
        <v>77</v>
      </c>
      <c r="E18" s="271">
        <v>14.9</v>
      </c>
      <c r="F18" s="270">
        <v>70</v>
      </c>
      <c r="G18" s="270">
        <v>40</v>
      </c>
      <c r="H18" s="271">
        <v>-2.4</v>
      </c>
      <c r="I18" s="269">
        <v>33</v>
      </c>
    </row>
    <row r="19" spans="2:9" ht="15" customHeight="1" x14ac:dyDescent="0.2">
      <c r="B19" s="268">
        <v>25</v>
      </c>
      <c r="C19" s="210" t="s">
        <v>353</v>
      </c>
      <c r="D19" s="269">
        <v>84</v>
      </c>
      <c r="E19" s="271">
        <v>-12.5</v>
      </c>
      <c r="F19" s="270">
        <v>62</v>
      </c>
      <c r="G19" s="270">
        <v>83</v>
      </c>
      <c r="H19" s="271">
        <v>-21</v>
      </c>
      <c r="I19" s="269">
        <v>64</v>
      </c>
    </row>
    <row r="20" spans="2:9" ht="15" customHeight="1" x14ac:dyDescent="0.2">
      <c r="B20" s="268">
        <v>26</v>
      </c>
      <c r="C20" s="210" t="s">
        <v>354</v>
      </c>
      <c r="D20" s="269">
        <v>21</v>
      </c>
      <c r="E20" s="271">
        <v>5</v>
      </c>
      <c r="F20" s="270">
        <v>14</v>
      </c>
      <c r="G20" s="270">
        <v>17</v>
      </c>
      <c r="H20" s="271">
        <v>30.8</v>
      </c>
      <c r="I20" s="269">
        <v>12</v>
      </c>
    </row>
    <row r="21" spans="2:9" ht="15" customHeight="1" x14ac:dyDescent="0.2">
      <c r="B21" s="268">
        <v>27</v>
      </c>
      <c r="C21" s="210" t="s">
        <v>355</v>
      </c>
      <c r="D21" s="269">
        <v>13</v>
      </c>
      <c r="E21" s="271">
        <v>8.3000000000000007</v>
      </c>
      <c r="F21" s="270">
        <v>11</v>
      </c>
      <c r="G21" s="270">
        <v>16</v>
      </c>
      <c r="H21" s="271">
        <v>220</v>
      </c>
      <c r="I21" s="269">
        <v>12</v>
      </c>
    </row>
    <row r="22" spans="2:9" ht="15" customHeight="1" x14ac:dyDescent="0.2">
      <c r="B22" s="268">
        <v>28</v>
      </c>
      <c r="C22" s="210" t="s">
        <v>356</v>
      </c>
      <c r="D22" s="269">
        <v>38</v>
      </c>
      <c r="E22" s="271">
        <v>31</v>
      </c>
      <c r="F22" s="270">
        <v>27</v>
      </c>
      <c r="G22" s="270">
        <v>31</v>
      </c>
      <c r="H22" s="271">
        <v>3.3</v>
      </c>
      <c r="I22" s="269">
        <v>20</v>
      </c>
    </row>
    <row r="23" spans="2:9" ht="15" customHeight="1" x14ac:dyDescent="0.2">
      <c r="B23" s="268">
        <v>30</v>
      </c>
      <c r="C23" s="210" t="s">
        <v>357</v>
      </c>
      <c r="D23" s="269">
        <v>15</v>
      </c>
      <c r="E23" s="271">
        <v>275</v>
      </c>
      <c r="F23" s="270">
        <v>12</v>
      </c>
      <c r="G23" s="270">
        <v>8</v>
      </c>
      <c r="H23" s="271">
        <v>-27.3</v>
      </c>
      <c r="I23" s="269">
        <v>6</v>
      </c>
    </row>
    <row r="24" spans="2:9" ht="15" customHeight="1" x14ac:dyDescent="0.2">
      <c r="B24" s="268">
        <v>32</v>
      </c>
      <c r="C24" s="210" t="s">
        <v>358</v>
      </c>
      <c r="D24" s="269">
        <v>485</v>
      </c>
      <c r="E24" s="271">
        <v>-12</v>
      </c>
      <c r="F24" s="270">
        <v>437</v>
      </c>
      <c r="G24" s="270">
        <v>372</v>
      </c>
      <c r="H24" s="271">
        <v>11.7</v>
      </c>
      <c r="I24" s="269">
        <v>323</v>
      </c>
    </row>
    <row r="25" spans="2:9" ht="15" customHeight="1" x14ac:dyDescent="0.2">
      <c r="B25" s="268">
        <v>33</v>
      </c>
      <c r="C25" s="210" t="s">
        <v>359</v>
      </c>
      <c r="D25" s="269">
        <v>112</v>
      </c>
      <c r="E25" s="271">
        <v>30.2</v>
      </c>
      <c r="F25" s="270">
        <v>82</v>
      </c>
      <c r="G25" s="270">
        <v>94</v>
      </c>
      <c r="H25" s="271">
        <v>22.1</v>
      </c>
      <c r="I25" s="269">
        <v>66</v>
      </c>
    </row>
    <row r="26" spans="2:9" ht="15" customHeight="1" x14ac:dyDescent="0.25">
      <c r="B26" s="215" t="s">
        <v>233</v>
      </c>
      <c r="C26" s="238" t="s">
        <v>234</v>
      </c>
      <c r="D26" s="266">
        <v>372</v>
      </c>
      <c r="E26" s="273">
        <v>-7.2</v>
      </c>
      <c r="F26" s="267">
        <v>319</v>
      </c>
      <c r="G26" s="267">
        <v>279</v>
      </c>
      <c r="H26" s="273">
        <v>29.8</v>
      </c>
      <c r="I26" s="266">
        <v>177</v>
      </c>
    </row>
    <row r="27" spans="2:9" ht="15" customHeight="1" x14ac:dyDescent="0.25">
      <c r="B27" s="215" t="s">
        <v>235</v>
      </c>
      <c r="C27" s="238" t="s">
        <v>360</v>
      </c>
      <c r="D27" s="266">
        <v>37</v>
      </c>
      <c r="E27" s="273">
        <v>15.6</v>
      </c>
      <c r="F27" s="267">
        <v>21</v>
      </c>
      <c r="G27" s="267">
        <v>32</v>
      </c>
      <c r="H27" s="273">
        <v>10.3</v>
      </c>
      <c r="I27" s="266">
        <v>27</v>
      </c>
    </row>
    <row r="28" spans="2:9" ht="15" customHeight="1" x14ac:dyDescent="0.2">
      <c r="B28" s="268">
        <v>38</v>
      </c>
      <c r="C28" s="210" t="s">
        <v>361</v>
      </c>
      <c r="D28" s="269">
        <v>22</v>
      </c>
      <c r="E28" s="271">
        <v>10</v>
      </c>
      <c r="F28" s="270">
        <v>13</v>
      </c>
      <c r="G28" s="270">
        <v>19</v>
      </c>
      <c r="H28" s="271">
        <v>-17.399999999999999</v>
      </c>
      <c r="I28" s="269">
        <v>15</v>
      </c>
    </row>
    <row r="29" spans="2:9" s="229" customFormat="1" ht="15" customHeight="1" x14ac:dyDescent="0.25">
      <c r="B29" s="215" t="s">
        <v>237</v>
      </c>
      <c r="C29" s="238" t="s">
        <v>2</v>
      </c>
      <c r="D29" s="266">
        <v>2070</v>
      </c>
      <c r="E29" s="273">
        <v>-3.8</v>
      </c>
      <c r="F29" s="267">
        <v>1551</v>
      </c>
      <c r="G29" s="267">
        <v>2221</v>
      </c>
      <c r="H29" s="273">
        <v>8.6</v>
      </c>
      <c r="I29" s="266">
        <v>1748</v>
      </c>
    </row>
    <row r="30" spans="2:9" ht="15" customHeight="1" x14ac:dyDescent="0.2">
      <c r="B30" s="268">
        <v>41</v>
      </c>
      <c r="C30" s="210" t="s">
        <v>362</v>
      </c>
      <c r="D30" s="269">
        <v>43</v>
      </c>
      <c r="E30" s="271">
        <v>0</v>
      </c>
      <c r="F30" s="270">
        <v>27</v>
      </c>
      <c r="G30" s="270">
        <v>39</v>
      </c>
      <c r="H30" s="271">
        <v>11.4</v>
      </c>
      <c r="I30" s="269">
        <v>29</v>
      </c>
    </row>
    <row r="31" spans="2:9" ht="15" customHeight="1" x14ac:dyDescent="0.2">
      <c r="B31" s="268">
        <v>42</v>
      </c>
      <c r="C31" s="210" t="s">
        <v>363</v>
      </c>
      <c r="D31" s="269">
        <v>77</v>
      </c>
      <c r="E31" s="271">
        <v>2.7</v>
      </c>
      <c r="F31" s="270">
        <v>55</v>
      </c>
      <c r="G31" s="270">
        <v>55</v>
      </c>
      <c r="H31" s="271">
        <v>0</v>
      </c>
      <c r="I31" s="269">
        <v>40</v>
      </c>
    </row>
    <row r="32" spans="2:9" ht="15" customHeight="1" x14ac:dyDescent="0.2">
      <c r="B32" s="268">
        <v>43</v>
      </c>
      <c r="C32" s="210" t="s">
        <v>364</v>
      </c>
      <c r="D32" s="269">
        <v>1950</v>
      </c>
      <c r="E32" s="271">
        <v>-4.0999999999999996</v>
      </c>
      <c r="F32" s="270">
        <v>1469</v>
      </c>
      <c r="G32" s="270">
        <v>2127</v>
      </c>
      <c r="H32" s="271">
        <v>8.6999999999999993</v>
      </c>
      <c r="I32" s="269">
        <v>1679</v>
      </c>
    </row>
    <row r="33" spans="2:9" s="229" customFormat="1" ht="15" customHeight="1" x14ac:dyDescent="0.25">
      <c r="B33" s="215" t="s">
        <v>238</v>
      </c>
      <c r="C33" s="238" t="s">
        <v>365</v>
      </c>
      <c r="D33" s="266">
        <v>5934</v>
      </c>
      <c r="E33" s="273">
        <v>-5.7</v>
      </c>
      <c r="F33" s="267">
        <v>4723</v>
      </c>
      <c r="G33" s="267">
        <v>6042</v>
      </c>
      <c r="H33" s="273">
        <v>9.6999999999999993</v>
      </c>
      <c r="I33" s="266">
        <v>4942</v>
      </c>
    </row>
    <row r="34" spans="2:9" ht="15" customHeight="1" x14ac:dyDescent="0.2">
      <c r="B34" s="268">
        <v>45</v>
      </c>
      <c r="C34" s="210" t="s">
        <v>366</v>
      </c>
      <c r="D34" s="269">
        <v>756</v>
      </c>
      <c r="E34" s="271">
        <v>-3.1</v>
      </c>
      <c r="F34" s="270">
        <v>605</v>
      </c>
      <c r="G34" s="270">
        <v>682</v>
      </c>
      <c r="H34" s="271">
        <v>-5.3</v>
      </c>
      <c r="I34" s="269">
        <v>560</v>
      </c>
    </row>
    <row r="35" spans="2:9" ht="15" customHeight="1" x14ac:dyDescent="0.2">
      <c r="B35" s="268">
        <v>46</v>
      </c>
      <c r="C35" s="210" t="s">
        <v>367</v>
      </c>
      <c r="D35" s="269">
        <v>883</v>
      </c>
      <c r="E35" s="271">
        <v>-4.0999999999999996</v>
      </c>
      <c r="F35" s="270">
        <v>650</v>
      </c>
      <c r="G35" s="270">
        <v>911</v>
      </c>
      <c r="H35" s="271">
        <v>2.6</v>
      </c>
      <c r="I35" s="269">
        <v>701</v>
      </c>
    </row>
    <row r="36" spans="2:9" ht="15" customHeight="1" x14ac:dyDescent="0.2">
      <c r="B36" s="268">
        <v>47</v>
      </c>
      <c r="C36" s="210" t="s">
        <v>368</v>
      </c>
      <c r="D36" s="269">
        <v>4295</v>
      </c>
      <c r="E36" s="271">
        <v>-6.5</v>
      </c>
      <c r="F36" s="270">
        <v>3468</v>
      </c>
      <c r="G36" s="270">
        <v>4449</v>
      </c>
      <c r="H36" s="271">
        <v>14</v>
      </c>
      <c r="I36" s="269">
        <v>3681</v>
      </c>
    </row>
    <row r="37" spans="2:9" ht="15" customHeight="1" x14ac:dyDescent="0.25">
      <c r="B37" s="215" t="s">
        <v>240</v>
      </c>
      <c r="C37" s="238" t="s">
        <v>241</v>
      </c>
      <c r="D37" s="269">
        <v>955</v>
      </c>
      <c r="E37" s="271">
        <v>14.8</v>
      </c>
      <c r="F37" s="270">
        <v>791</v>
      </c>
      <c r="G37" s="270">
        <v>953</v>
      </c>
      <c r="H37" s="271">
        <v>11.1</v>
      </c>
      <c r="I37" s="269">
        <v>775</v>
      </c>
    </row>
    <row r="38" spans="2:9" ht="15" customHeight="1" x14ac:dyDescent="0.25">
      <c r="B38" s="215" t="s">
        <v>242</v>
      </c>
      <c r="C38" s="238" t="s">
        <v>243</v>
      </c>
      <c r="D38" s="266">
        <v>1700</v>
      </c>
      <c r="E38" s="273">
        <v>-0.6</v>
      </c>
      <c r="F38" s="267">
        <v>996</v>
      </c>
      <c r="G38" s="267">
        <v>1700</v>
      </c>
      <c r="H38" s="273">
        <v>-1</v>
      </c>
      <c r="I38" s="266">
        <v>1151</v>
      </c>
    </row>
    <row r="39" spans="2:9" ht="15" customHeight="1" x14ac:dyDescent="0.2">
      <c r="B39" s="268">
        <v>55</v>
      </c>
      <c r="C39" s="210" t="s">
        <v>369</v>
      </c>
      <c r="D39" s="269">
        <v>204</v>
      </c>
      <c r="E39" s="271">
        <v>-2.9</v>
      </c>
      <c r="F39" s="270">
        <v>154</v>
      </c>
      <c r="G39" s="270">
        <v>227</v>
      </c>
      <c r="H39" s="271">
        <v>6.6</v>
      </c>
      <c r="I39" s="269">
        <v>173</v>
      </c>
    </row>
    <row r="40" spans="2:9" ht="15" customHeight="1" x14ac:dyDescent="0.2">
      <c r="B40" s="268">
        <v>56</v>
      </c>
      <c r="C40" s="210" t="s">
        <v>370</v>
      </c>
      <c r="D40" s="269">
        <v>1496</v>
      </c>
      <c r="E40" s="271">
        <v>-0.3</v>
      </c>
      <c r="F40" s="270">
        <v>842</v>
      </c>
      <c r="G40" s="270">
        <v>1473</v>
      </c>
      <c r="H40" s="271">
        <v>-2.1</v>
      </c>
      <c r="I40" s="269">
        <v>978</v>
      </c>
    </row>
    <row r="41" spans="2:9" s="229" customFormat="1" ht="15" customHeight="1" x14ac:dyDescent="0.25">
      <c r="B41" s="215" t="s">
        <v>244</v>
      </c>
      <c r="C41" s="238" t="s">
        <v>245</v>
      </c>
      <c r="D41" s="266">
        <v>1479</v>
      </c>
      <c r="E41" s="273">
        <v>-2.4</v>
      </c>
      <c r="F41" s="267">
        <v>1173</v>
      </c>
      <c r="G41" s="267">
        <v>1064</v>
      </c>
      <c r="H41" s="273">
        <v>-5.2</v>
      </c>
      <c r="I41" s="266">
        <v>793</v>
      </c>
    </row>
    <row r="42" spans="2:9" ht="15" customHeight="1" x14ac:dyDescent="0.2">
      <c r="B42" s="268">
        <v>58</v>
      </c>
      <c r="C42" s="210" t="s">
        <v>371</v>
      </c>
      <c r="D42" s="269">
        <v>72</v>
      </c>
      <c r="E42" s="271">
        <v>9.1</v>
      </c>
      <c r="F42" s="270">
        <v>55</v>
      </c>
      <c r="G42" s="270">
        <v>50</v>
      </c>
      <c r="H42" s="271">
        <v>-24.2</v>
      </c>
      <c r="I42" s="269">
        <v>38</v>
      </c>
    </row>
    <row r="43" spans="2:9" ht="15" customHeight="1" x14ac:dyDescent="0.2">
      <c r="B43" s="268">
        <v>59</v>
      </c>
      <c r="C43" s="210" t="s">
        <v>372</v>
      </c>
      <c r="D43" s="269">
        <v>470</v>
      </c>
      <c r="E43" s="271">
        <v>14.1</v>
      </c>
      <c r="F43" s="270">
        <v>418</v>
      </c>
      <c r="G43" s="270">
        <v>242</v>
      </c>
      <c r="H43" s="271">
        <v>7.6</v>
      </c>
      <c r="I43" s="269">
        <v>176</v>
      </c>
    </row>
    <row r="44" spans="2:9" ht="15" customHeight="1" x14ac:dyDescent="0.2">
      <c r="B44" s="268">
        <v>61</v>
      </c>
      <c r="C44" s="210" t="s">
        <v>373</v>
      </c>
      <c r="D44" s="269">
        <v>6</v>
      </c>
      <c r="E44" s="271">
        <v>-40</v>
      </c>
      <c r="F44" s="270">
        <v>5</v>
      </c>
      <c r="G44" s="270">
        <v>8</v>
      </c>
      <c r="H44" s="271">
        <v>-20</v>
      </c>
      <c r="I44" s="269">
        <v>8</v>
      </c>
    </row>
    <row r="45" spans="2:9" ht="15" customHeight="1" x14ac:dyDescent="0.2">
      <c r="B45" s="268">
        <v>62</v>
      </c>
      <c r="C45" s="210" t="s">
        <v>374</v>
      </c>
      <c r="D45" s="269">
        <v>781</v>
      </c>
      <c r="E45" s="271">
        <v>-0.8</v>
      </c>
      <c r="F45" s="270">
        <v>570</v>
      </c>
      <c r="G45" s="270">
        <v>613</v>
      </c>
      <c r="H45" s="271">
        <v>-6.1</v>
      </c>
      <c r="I45" s="269">
        <v>441</v>
      </c>
    </row>
    <row r="46" spans="2:9" ht="15" customHeight="1" x14ac:dyDescent="0.2">
      <c r="B46" s="268">
        <v>63</v>
      </c>
      <c r="C46" s="210" t="s">
        <v>375</v>
      </c>
      <c r="D46" s="269">
        <v>149</v>
      </c>
      <c r="E46" s="271">
        <v>-36.9</v>
      </c>
      <c r="F46" s="270">
        <v>124</v>
      </c>
      <c r="G46" s="270">
        <v>148</v>
      </c>
      <c r="H46" s="271">
        <v>-11.4</v>
      </c>
      <c r="I46" s="269">
        <v>129</v>
      </c>
    </row>
    <row r="47" spans="2:9" ht="15" customHeight="1" x14ac:dyDescent="0.25">
      <c r="B47" s="215" t="s">
        <v>246</v>
      </c>
      <c r="C47" s="238" t="s">
        <v>247</v>
      </c>
      <c r="D47" s="266">
        <v>1112</v>
      </c>
      <c r="E47" s="273">
        <v>8.1999999999999993</v>
      </c>
      <c r="F47" s="267">
        <v>809</v>
      </c>
      <c r="G47" s="267">
        <v>901</v>
      </c>
      <c r="H47" s="273">
        <v>10.4</v>
      </c>
      <c r="I47" s="266">
        <v>643</v>
      </c>
    </row>
    <row r="48" spans="2:9" ht="15" customHeight="1" x14ac:dyDescent="0.2">
      <c r="B48" s="268">
        <v>66</v>
      </c>
      <c r="C48" s="210" t="s">
        <v>376</v>
      </c>
      <c r="D48" s="269">
        <v>826</v>
      </c>
      <c r="E48" s="271">
        <v>6.9</v>
      </c>
      <c r="F48" s="270">
        <v>604</v>
      </c>
      <c r="G48" s="270">
        <v>776</v>
      </c>
      <c r="H48" s="271">
        <v>9.1</v>
      </c>
      <c r="I48" s="269">
        <v>575</v>
      </c>
    </row>
    <row r="49" spans="2:9" ht="15" customHeight="1" x14ac:dyDescent="0.25">
      <c r="B49" s="215" t="s">
        <v>248</v>
      </c>
      <c r="C49" s="238" t="s">
        <v>249</v>
      </c>
      <c r="D49" s="266">
        <v>675</v>
      </c>
      <c r="E49" s="273">
        <v>-4</v>
      </c>
      <c r="F49" s="267">
        <v>503</v>
      </c>
      <c r="G49" s="267">
        <v>711</v>
      </c>
      <c r="H49" s="273">
        <v>20.9</v>
      </c>
      <c r="I49" s="266">
        <v>501</v>
      </c>
    </row>
    <row r="50" spans="2:9" ht="15" customHeight="1" x14ac:dyDescent="0.25">
      <c r="B50" s="215" t="s">
        <v>250</v>
      </c>
      <c r="C50" s="238" t="s">
        <v>251</v>
      </c>
      <c r="D50" s="266">
        <v>3074</v>
      </c>
      <c r="E50" s="273">
        <v>6.6</v>
      </c>
      <c r="F50" s="267">
        <v>2518</v>
      </c>
      <c r="G50" s="267">
        <v>2272</v>
      </c>
      <c r="H50" s="273">
        <v>19.100000000000001</v>
      </c>
      <c r="I50" s="266">
        <v>1793</v>
      </c>
    </row>
    <row r="51" spans="2:9" ht="15" customHeight="1" x14ac:dyDescent="0.2">
      <c r="B51" s="268">
        <v>70</v>
      </c>
      <c r="C51" s="210" t="s">
        <v>377</v>
      </c>
      <c r="D51" s="269">
        <v>617</v>
      </c>
      <c r="E51" s="271">
        <v>1.1000000000000001</v>
      </c>
      <c r="F51" s="270">
        <v>481</v>
      </c>
      <c r="G51" s="270">
        <v>454</v>
      </c>
      <c r="H51" s="271">
        <v>30.5</v>
      </c>
      <c r="I51" s="269">
        <v>334</v>
      </c>
    </row>
    <row r="52" spans="2:9" ht="15" customHeight="1" x14ac:dyDescent="0.2">
      <c r="B52" s="268">
        <v>71</v>
      </c>
      <c r="C52" s="210" t="s">
        <v>378</v>
      </c>
      <c r="D52" s="269">
        <v>286</v>
      </c>
      <c r="E52" s="271">
        <v>40.9</v>
      </c>
      <c r="F52" s="270">
        <v>226</v>
      </c>
      <c r="G52" s="270">
        <v>208</v>
      </c>
      <c r="H52" s="271">
        <v>39.6</v>
      </c>
      <c r="I52" s="269">
        <v>162</v>
      </c>
    </row>
    <row r="53" spans="2:9" ht="15" customHeight="1" x14ac:dyDescent="0.2">
      <c r="B53" s="268">
        <v>73</v>
      </c>
      <c r="C53" s="210" t="s">
        <v>379</v>
      </c>
      <c r="D53" s="269">
        <v>1042</v>
      </c>
      <c r="E53" s="271">
        <v>19.600000000000001</v>
      </c>
      <c r="F53" s="270">
        <v>901</v>
      </c>
      <c r="G53" s="270">
        <v>733</v>
      </c>
      <c r="H53" s="271">
        <v>17.100000000000001</v>
      </c>
      <c r="I53" s="269">
        <v>611</v>
      </c>
    </row>
    <row r="54" spans="2:9" ht="15" customHeight="1" x14ac:dyDescent="0.25">
      <c r="B54" s="215" t="s">
        <v>252</v>
      </c>
      <c r="C54" s="238" t="s">
        <v>253</v>
      </c>
      <c r="D54" s="266">
        <v>3503</v>
      </c>
      <c r="E54" s="273">
        <v>3.1</v>
      </c>
      <c r="F54" s="267">
        <v>2989</v>
      </c>
      <c r="G54" s="267">
        <v>3064</v>
      </c>
      <c r="H54" s="273">
        <v>6.6</v>
      </c>
      <c r="I54" s="266">
        <v>2564</v>
      </c>
    </row>
    <row r="55" spans="2:9" ht="15" customHeight="1" x14ac:dyDescent="0.2">
      <c r="B55" s="268">
        <v>77</v>
      </c>
      <c r="C55" s="210" t="s">
        <v>380</v>
      </c>
      <c r="D55" s="269">
        <v>329</v>
      </c>
      <c r="E55" s="271">
        <v>-12</v>
      </c>
      <c r="F55" s="270">
        <v>283</v>
      </c>
      <c r="G55" s="270">
        <v>239</v>
      </c>
      <c r="H55" s="271">
        <v>11.7</v>
      </c>
      <c r="I55" s="269">
        <v>195</v>
      </c>
    </row>
    <row r="56" spans="2:9" ht="15" customHeight="1" x14ac:dyDescent="0.2">
      <c r="B56" s="268">
        <v>78</v>
      </c>
      <c r="C56" s="210" t="s">
        <v>381</v>
      </c>
      <c r="D56" s="269">
        <v>98</v>
      </c>
      <c r="E56" s="271">
        <v>-9.3000000000000007</v>
      </c>
      <c r="F56" s="270">
        <v>66</v>
      </c>
      <c r="G56" s="270">
        <v>121</v>
      </c>
      <c r="H56" s="271">
        <v>24.7</v>
      </c>
      <c r="I56" s="269">
        <v>86</v>
      </c>
    </row>
    <row r="57" spans="2:9" ht="15" customHeight="1" x14ac:dyDescent="0.2">
      <c r="B57" s="268">
        <v>79</v>
      </c>
      <c r="C57" s="210" t="s">
        <v>382</v>
      </c>
      <c r="D57" s="269">
        <v>85</v>
      </c>
      <c r="E57" s="271">
        <v>-1.2</v>
      </c>
      <c r="F57" s="270">
        <v>65</v>
      </c>
      <c r="G57" s="270">
        <v>101</v>
      </c>
      <c r="H57" s="271">
        <v>24.7</v>
      </c>
      <c r="I57" s="269">
        <v>76</v>
      </c>
    </row>
    <row r="58" spans="2:9" ht="15" customHeight="1" x14ac:dyDescent="0.2">
      <c r="B58" s="268">
        <v>81</v>
      </c>
      <c r="C58" s="210" t="s">
        <v>383</v>
      </c>
      <c r="D58" s="269">
        <v>2251</v>
      </c>
      <c r="E58" s="271">
        <v>5.8</v>
      </c>
      <c r="F58" s="270">
        <v>1942</v>
      </c>
      <c r="G58" s="270">
        <v>1910</v>
      </c>
      <c r="H58" s="271">
        <v>4.9000000000000004</v>
      </c>
      <c r="I58" s="269">
        <v>1622</v>
      </c>
    </row>
    <row r="59" spans="2:9" ht="15" customHeight="1" x14ac:dyDescent="0.25">
      <c r="B59" s="215" t="s">
        <v>384</v>
      </c>
      <c r="C59" s="238" t="s">
        <v>385</v>
      </c>
      <c r="D59" s="272">
        <v>2</v>
      </c>
      <c r="E59" s="273" t="s">
        <v>37</v>
      </c>
      <c r="F59" s="272">
        <v>2</v>
      </c>
      <c r="G59" s="272" t="s">
        <v>35</v>
      </c>
      <c r="H59" s="273" t="s">
        <v>37</v>
      </c>
      <c r="I59" s="272" t="s">
        <v>35</v>
      </c>
    </row>
    <row r="60" spans="2:9" ht="15" customHeight="1" x14ac:dyDescent="0.25">
      <c r="B60" s="215" t="s">
        <v>254</v>
      </c>
      <c r="C60" s="238" t="s">
        <v>255</v>
      </c>
      <c r="D60" s="266">
        <v>1015</v>
      </c>
      <c r="E60" s="273">
        <v>5.7</v>
      </c>
      <c r="F60" s="267">
        <v>847</v>
      </c>
      <c r="G60" s="267">
        <v>673</v>
      </c>
      <c r="H60" s="273">
        <v>14.7</v>
      </c>
      <c r="I60" s="266">
        <v>523</v>
      </c>
    </row>
    <row r="61" spans="2:9" ht="15" customHeight="1" x14ac:dyDescent="0.25">
      <c r="B61" s="215" t="s">
        <v>256</v>
      </c>
      <c r="C61" s="238" t="s">
        <v>257</v>
      </c>
      <c r="D61" s="266">
        <v>582</v>
      </c>
      <c r="E61" s="273">
        <v>3.9</v>
      </c>
      <c r="F61" s="267">
        <v>490</v>
      </c>
      <c r="G61" s="267">
        <v>492</v>
      </c>
      <c r="H61" s="273">
        <v>16.3</v>
      </c>
      <c r="I61" s="266">
        <v>387</v>
      </c>
    </row>
    <row r="62" spans="2:9" ht="15" customHeight="1" x14ac:dyDescent="0.25">
      <c r="B62" s="215" t="s">
        <v>258</v>
      </c>
      <c r="C62" s="238" t="s">
        <v>386</v>
      </c>
      <c r="D62" s="266">
        <v>680</v>
      </c>
      <c r="E62" s="273">
        <v>-2.4</v>
      </c>
      <c r="F62" s="267">
        <v>570</v>
      </c>
      <c r="G62" s="267">
        <v>608</v>
      </c>
      <c r="H62" s="273">
        <v>23.8</v>
      </c>
      <c r="I62" s="266">
        <v>474</v>
      </c>
    </row>
    <row r="63" spans="2:9" ht="15" customHeight="1" x14ac:dyDescent="0.25">
      <c r="B63" s="215" t="s">
        <v>260</v>
      </c>
      <c r="C63" s="238" t="s">
        <v>261</v>
      </c>
      <c r="D63" s="266">
        <v>2046</v>
      </c>
      <c r="E63" s="273">
        <v>2.6</v>
      </c>
      <c r="F63" s="267">
        <v>1631</v>
      </c>
      <c r="G63" s="267">
        <v>1708</v>
      </c>
      <c r="H63" s="273">
        <v>7.6</v>
      </c>
      <c r="I63" s="266">
        <v>1328</v>
      </c>
    </row>
    <row r="64" spans="2:9" ht="15" customHeight="1" x14ac:dyDescent="0.2">
      <c r="B64" s="268">
        <v>95</v>
      </c>
      <c r="C64" s="210" t="s">
        <v>387</v>
      </c>
      <c r="D64" s="269">
        <v>122</v>
      </c>
      <c r="E64" s="271">
        <v>28.4</v>
      </c>
      <c r="F64" s="270">
        <v>93</v>
      </c>
      <c r="G64" s="270">
        <v>140</v>
      </c>
      <c r="H64" s="271">
        <v>21.7</v>
      </c>
      <c r="I64" s="269">
        <v>110</v>
      </c>
    </row>
    <row r="65" spans="2:10" ht="15" customHeight="1" x14ac:dyDescent="0.25">
      <c r="B65" s="274" t="s">
        <v>388</v>
      </c>
      <c r="C65" s="213" t="s">
        <v>389</v>
      </c>
      <c r="D65" s="275">
        <v>27177</v>
      </c>
      <c r="E65" s="370">
        <v>0.4</v>
      </c>
      <c r="F65" s="276">
        <v>21556</v>
      </c>
      <c r="G65" s="276">
        <v>24301</v>
      </c>
      <c r="H65" s="370">
        <v>9</v>
      </c>
      <c r="I65" s="275">
        <v>19124</v>
      </c>
    </row>
    <row r="66" spans="2:10" ht="12" x14ac:dyDescent="0.25">
      <c r="B66" s="215"/>
      <c r="C66" s="216"/>
      <c r="D66" s="277"/>
      <c r="E66" s="278"/>
      <c r="F66" s="279"/>
      <c r="G66" s="279"/>
      <c r="H66" s="278"/>
      <c r="I66" s="277"/>
    </row>
    <row r="67" spans="2:10" x14ac:dyDescent="0.2">
      <c r="B67" s="400" t="s">
        <v>324</v>
      </c>
      <c r="C67" s="400"/>
      <c r="D67" s="400"/>
      <c r="E67" s="400"/>
      <c r="F67" s="400"/>
      <c r="G67" s="400"/>
      <c r="H67" s="400"/>
      <c r="I67" s="400"/>
    </row>
    <row r="68" spans="2:10" x14ac:dyDescent="0.2">
      <c r="B68" s="388" t="s">
        <v>390</v>
      </c>
      <c r="C68" s="400"/>
      <c r="D68" s="400"/>
      <c r="E68" s="400"/>
      <c r="F68" s="400"/>
      <c r="G68" s="400"/>
      <c r="H68" s="400"/>
      <c r="I68" s="400"/>
    </row>
    <row r="69" spans="2:10" x14ac:dyDescent="0.2">
      <c r="B69" s="400" t="s">
        <v>391</v>
      </c>
      <c r="C69" s="400"/>
      <c r="D69" s="400"/>
      <c r="E69" s="400"/>
      <c r="F69" s="400"/>
      <c r="G69" s="400"/>
      <c r="H69" s="400"/>
      <c r="I69" s="400"/>
    </row>
    <row r="70" spans="2:10" x14ac:dyDescent="0.2">
      <c r="B70" s="280"/>
      <c r="C70" s="99"/>
      <c r="D70" s="99"/>
      <c r="E70" s="281"/>
      <c r="F70" s="99"/>
      <c r="G70" s="99"/>
      <c r="H70" s="281"/>
      <c r="I70" s="99"/>
      <c r="J70" s="282"/>
    </row>
    <row r="71" spans="2:10" x14ac:dyDescent="0.2">
      <c r="I71" s="116" t="s">
        <v>178</v>
      </c>
    </row>
  </sheetData>
  <mergeCells count="11">
    <mergeCell ref="B67:I67"/>
    <mergeCell ref="B68:I68"/>
    <mergeCell ref="B69:I69"/>
    <mergeCell ref="B3:I3"/>
    <mergeCell ref="B4:B6"/>
    <mergeCell ref="C4:C6"/>
    <mergeCell ref="D4:F4"/>
    <mergeCell ref="G4:I4"/>
    <mergeCell ref="D5:E5"/>
    <mergeCell ref="G5:H5"/>
    <mergeCell ref="F6:G6"/>
  </mergeCells>
  <hyperlinks>
    <hyperlink ref="I71" location="Inhaltsverzeichnis!A1" display="› Zurück zum Inhaltsverzeichnis" xr:uid="{B6ABC619-4F7D-4FDD-931C-3628AA44CD0C}"/>
  </hyperlinks>
  <pageMargins left="0.7" right="0.7" top="0.78740157499999996" bottom="0.78740157499999996"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2CC68-9473-4DEE-AAD3-6AA89534FB67}">
  <dimension ref="A1:M31"/>
  <sheetViews>
    <sheetView zoomScaleNormal="100" workbookViewId="0">
      <pane ySplit="6" topLeftCell="A7" activePane="bottomLeft" state="frozen"/>
      <selection pane="bottomLeft" activeCell="O8" sqref="O8"/>
    </sheetView>
  </sheetViews>
  <sheetFormatPr baseColWidth="10" defaultColWidth="11.375" defaultRowHeight="11.4" x14ac:dyDescent="0.2"/>
  <cols>
    <col min="1" max="1" width="2.75" customWidth="1"/>
    <col min="2" max="2" width="24" customWidth="1"/>
    <col min="3" max="5" width="13.75" customWidth="1"/>
    <col min="6" max="6" width="16.125" customWidth="1"/>
    <col min="7" max="9" width="13.75" customWidth="1"/>
    <col min="10" max="10" width="16" customWidth="1"/>
  </cols>
  <sheetData>
    <row r="1" spans="1:13" s="4" customFormat="1" ht="13.8" x14ac:dyDescent="0.2">
      <c r="C1" s="40"/>
      <c r="E1" s="41"/>
    </row>
    <row r="2" spans="1:13" s="203" customFormat="1" ht="20.100000000000001" customHeight="1" x14ac:dyDescent="0.25">
      <c r="A2" s="201"/>
      <c r="B2" s="202" t="s">
        <v>44</v>
      </c>
      <c r="C2" s="202"/>
      <c r="D2" s="202"/>
      <c r="E2" s="202"/>
      <c r="F2" s="202"/>
      <c r="G2" s="202"/>
    </row>
    <row r="3" spans="1:13" s="80" customFormat="1" ht="50.25" customHeight="1" x14ac:dyDescent="0.2">
      <c r="A3" s="65"/>
      <c r="B3" s="381" t="s">
        <v>392</v>
      </c>
      <c r="C3" s="381"/>
      <c r="D3" s="381"/>
      <c r="E3" s="381"/>
      <c r="F3" s="381"/>
      <c r="G3" s="381"/>
    </row>
    <row r="4" spans="1:13" ht="19.5" customHeight="1" x14ac:dyDescent="0.2">
      <c r="A4" s="204"/>
      <c r="B4" s="415" t="s">
        <v>393</v>
      </c>
      <c r="C4" s="417" t="s">
        <v>315</v>
      </c>
      <c r="D4" s="417"/>
      <c r="E4" s="417"/>
      <c r="F4" s="417"/>
      <c r="G4" s="417" t="s">
        <v>316</v>
      </c>
      <c r="H4" s="417"/>
      <c r="I4" s="417"/>
      <c r="J4" s="418"/>
    </row>
    <row r="5" spans="1:13" ht="19.5" customHeight="1" x14ac:dyDescent="0.2">
      <c r="A5" s="204"/>
      <c r="B5" s="415"/>
      <c r="C5" s="416" t="s">
        <v>14</v>
      </c>
      <c r="D5" s="416"/>
      <c r="E5" s="416" t="s">
        <v>394</v>
      </c>
      <c r="F5" s="416"/>
      <c r="G5" s="416" t="s">
        <v>14</v>
      </c>
      <c r="H5" s="416"/>
      <c r="I5" s="416" t="s">
        <v>395</v>
      </c>
      <c r="J5" s="426"/>
    </row>
    <row r="6" spans="1:13" ht="34.200000000000003" x14ac:dyDescent="0.2">
      <c r="A6" s="204"/>
      <c r="B6" s="415"/>
      <c r="C6" s="205" t="s">
        <v>340</v>
      </c>
      <c r="D6" s="264" t="s">
        <v>341</v>
      </c>
      <c r="E6" s="205" t="s">
        <v>340</v>
      </c>
      <c r="F6" s="205" t="s">
        <v>396</v>
      </c>
      <c r="G6" s="205" t="s">
        <v>340</v>
      </c>
      <c r="H6" s="264" t="s">
        <v>341</v>
      </c>
      <c r="I6" s="205" t="s">
        <v>340</v>
      </c>
      <c r="J6" s="284" t="s">
        <v>396</v>
      </c>
    </row>
    <row r="7" spans="1:13" ht="15" customHeight="1" x14ac:dyDescent="0.25">
      <c r="A7" s="204"/>
      <c r="B7" s="285" t="s">
        <v>397</v>
      </c>
      <c r="C7" s="230">
        <v>754</v>
      </c>
      <c r="D7" s="371">
        <v>-0.5</v>
      </c>
      <c r="E7" s="230">
        <v>609</v>
      </c>
      <c r="F7" s="286">
        <v>6.3</v>
      </c>
      <c r="G7" s="246">
        <v>665</v>
      </c>
      <c r="H7" s="271">
        <v>9.6</v>
      </c>
      <c r="I7" s="246">
        <v>514</v>
      </c>
      <c r="J7" s="286">
        <v>5.3</v>
      </c>
      <c r="M7" s="287"/>
    </row>
    <row r="8" spans="1:13" ht="15" customHeight="1" x14ac:dyDescent="0.25">
      <c r="A8" s="204"/>
      <c r="B8" s="250" t="s">
        <v>398</v>
      </c>
      <c r="C8" s="230">
        <v>2198</v>
      </c>
      <c r="D8" s="371">
        <v>-7.1</v>
      </c>
      <c r="E8" s="230">
        <v>1800</v>
      </c>
      <c r="F8" s="286">
        <v>7.1</v>
      </c>
      <c r="G8" s="246">
        <v>1895</v>
      </c>
      <c r="H8" s="271">
        <v>-3.2</v>
      </c>
      <c r="I8" s="246">
        <v>1457</v>
      </c>
      <c r="J8" s="286">
        <v>5.8</v>
      </c>
      <c r="M8" s="287"/>
    </row>
    <row r="9" spans="1:13" ht="15" customHeight="1" x14ac:dyDescent="0.25">
      <c r="A9" s="204"/>
      <c r="B9" s="250" t="s">
        <v>399</v>
      </c>
      <c r="C9" s="230">
        <v>1910</v>
      </c>
      <c r="D9" s="371">
        <v>4.8</v>
      </c>
      <c r="E9" s="230">
        <v>1528</v>
      </c>
      <c r="F9" s="286">
        <v>7</v>
      </c>
      <c r="G9" s="246">
        <v>1762</v>
      </c>
      <c r="H9" s="271">
        <v>8.8000000000000007</v>
      </c>
      <c r="I9" s="246">
        <v>1385</v>
      </c>
      <c r="J9" s="286">
        <v>6.4</v>
      </c>
      <c r="M9" s="287"/>
    </row>
    <row r="10" spans="1:13" ht="15" customHeight="1" x14ac:dyDescent="0.25">
      <c r="A10" s="204"/>
      <c r="B10" s="250" t="s">
        <v>400</v>
      </c>
      <c r="C10" s="230">
        <v>776</v>
      </c>
      <c r="D10" s="371">
        <v>2.1</v>
      </c>
      <c r="E10" s="230">
        <v>695</v>
      </c>
      <c r="F10" s="286">
        <v>8.6999999999999993</v>
      </c>
      <c r="G10" s="246">
        <v>588</v>
      </c>
      <c r="H10" s="271">
        <v>-20.100000000000001</v>
      </c>
      <c r="I10" s="246">
        <v>500</v>
      </c>
      <c r="J10" s="286">
        <v>6.3</v>
      </c>
      <c r="M10" s="287"/>
    </row>
    <row r="11" spans="1:13" ht="15" customHeight="1" x14ac:dyDescent="0.25">
      <c r="B11" s="250" t="s">
        <v>401</v>
      </c>
      <c r="C11" s="230">
        <v>1185</v>
      </c>
      <c r="D11" s="371">
        <v>5.6</v>
      </c>
      <c r="E11" s="230">
        <v>961</v>
      </c>
      <c r="F11" s="286">
        <v>7.2</v>
      </c>
      <c r="G11" s="246">
        <v>947</v>
      </c>
      <c r="H11" s="271">
        <v>10.5</v>
      </c>
      <c r="I11" s="246">
        <v>784</v>
      </c>
      <c r="J11" s="286">
        <v>5.9</v>
      </c>
      <c r="M11" s="287"/>
    </row>
    <row r="12" spans="1:13" ht="15" customHeight="1" x14ac:dyDescent="0.25">
      <c r="B12" s="250" t="s">
        <v>402</v>
      </c>
      <c r="C12" s="230">
        <v>1867</v>
      </c>
      <c r="D12" s="371">
        <v>2.1</v>
      </c>
      <c r="E12" s="230">
        <v>1515</v>
      </c>
      <c r="F12" s="286">
        <v>7.3</v>
      </c>
      <c r="G12" s="246">
        <v>1514</v>
      </c>
      <c r="H12" s="271">
        <v>11</v>
      </c>
      <c r="I12" s="246">
        <v>1212</v>
      </c>
      <c r="J12" s="286">
        <v>5.9</v>
      </c>
      <c r="M12" s="287"/>
    </row>
    <row r="13" spans="1:13" ht="15" customHeight="1" x14ac:dyDescent="0.25">
      <c r="B13" s="250" t="s">
        <v>403</v>
      </c>
      <c r="C13" s="230">
        <v>1785</v>
      </c>
      <c r="D13" s="371">
        <v>0.4</v>
      </c>
      <c r="E13" s="230">
        <v>1452</v>
      </c>
      <c r="F13" s="286">
        <v>8.5</v>
      </c>
      <c r="G13" s="246">
        <v>1568</v>
      </c>
      <c r="H13" s="271">
        <v>2.2999999999999998</v>
      </c>
      <c r="I13" s="246">
        <v>1264</v>
      </c>
      <c r="J13" s="286">
        <v>7.4</v>
      </c>
      <c r="M13" s="287"/>
    </row>
    <row r="14" spans="1:13" ht="15" customHeight="1" x14ac:dyDescent="0.25">
      <c r="B14" s="250" t="s">
        <v>404</v>
      </c>
      <c r="C14" s="230">
        <v>2018</v>
      </c>
      <c r="D14" s="371">
        <v>2.2000000000000002</v>
      </c>
      <c r="E14" s="230">
        <v>1528</v>
      </c>
      <c r="F14" s="286">
        <v>7.6</v>
      </c>
      <c r="G14" s="246">
        <v>1819</v>
      </c>
      <c r="H14" s="271">
        <v>7.5</v>
      </c>
      <c r="I14" s="246">
        <v>1386</v>
      </c>
      <c r="J14" s="286">
        <v>6.9</v>
      </c>
      <c r="M14" s="287"/>
    </row>
    <row r="15" spans="1:13" ht="15" customHeight="1" x14ac:dyDescent="0.25">
      <c r="B15" s="250" t="s">
        <v>405</v>
      </c>
      <c r="C15" s="230">
        <v>3244</v>
      </c>
      <c r="D15" s="371">
        <v>0.4</v>
      </c>
      <c r="E15" s="230">
        <v>2574</v>
      </c>
      <c r="F15" s="286">
        <v>7.9</v>
      </c>
      <c r="G15" s="246">
        <v>2845</v>
      </c>
      <c r="H15" s="271">
        <v>8.3000000000000007</v>
      </c>
      <c r="I15" s="246">
        <v>2240</v>
      </c>
      <c r="J15" s="286">
        <v>6.9</v>
      </c>
      <c r="M15" s="287"/>
    </row>
    <row r="16" spans="1:13" ht="15" customHeight="1" x14ac:dyDescent="0.25">
      <c r="B16" s="250" t="s">
        <v>406</v>
      </c>
      <c r="C16" s="230">
        <v>1037</v>
      </c>
      <c r="D16" s="371">
        <v>-0.1</v>
      </c>
      <c r="E16" s="230">
        <v>809</v>
      </c>
      <c r="F16" s="286">
        <v>6.2</v>
      </c>
      <c r="G16" s="246">
        <v>924</v>
      </c>
      <c r="H16" s="271">
        <v>15.6</v>
      </c>
      <c r="I16" s="246">
        <v>716</v>
      </c>
      <c r="J16" s="286">
        <v>5.5</v>
      </c>
      <c r="M16" s="287"/>
    </row>
    <row r="17" spans="2:13" ht="15" customHeight="1" x14ac:dyDescent="0.25">
      <c r="B17" s="250" t="s">
        <v>407</v>
      </c>
      <c r="C17" s="230">
        <v>2306</v>
      </c>
      <c r="D17" s="371">
        <v>3.7</v>
      </c>
      <c r="E17" s="230">
        <v>1832</v>
      </c>
      <c r="F17" s="286">
        <v>6.6</v>
      </c>
      <c r="G17" s="246">
        <v>1918</v>
      </c>
      <c r="H17" s="271">
        <v>15.6</v>
      </c>
      <c r="I17" s="246">
        <v>1523</v>
      </c>
      <c r="J17" s="286">
        <v>5.5</v>
      </c>
      <c r="M17" s="287"/>
    </row>
    <row r="18" spans="2:13" ht="15" customHeight="1" x14ac:dyDescent="0.25">
      <c r="B18" s="250" t="s">
        <v>408</v>
      </c>
      <c r="C18" s="230">
        <v>1877</v>
      </c>
      <c r="D18" s="371">
        <v>3.5</v>
      </c>
      <c r="E18" s="230">
        <v>1467</v>
      </c>
      <c r="F18" s="286">
        <v>7.1</v>
      </c>
      <c r="G18" s="246">
        <v>1614</v>
      </c>
      <c r="H18" s="271">
        <v>7.1</v>
      </c>
      <c r="I18" s="246">
        <v>1251</v>
      </c>
      <c r="J18" s="286">
        <v>6.1</v>
      </c>
      <c r="M18" s="287"/>
    </row>
    <row r="19" spans="2:13" ht="15" customHeight="1" x14ac:dyDescent="0.25">
      <c r="B19" s="250" t="s">
        <v>409</v>
      </c>
      <c r="C19" s="230">
        <v>2663</v>
      </c>
      <c r="D19" s="371">
        <v>-0.5</v>
      </c>
      <c r="E19" s="230">
        <v>2057</v>
      </c>
      <c r="F19" s="286">
        <v>7.3</v>
      </c>
      <c r="G19" s="246">
        <v>2747</v>
      </c>
      <c r="H19" s="271">
        <v>19.600000000000001</v>
      </c>
      <c r="I19" s="246">
        <v>2179</v>
      </c>
      <c r="J19" s="286">
        <v>7.7</v>
      </c>
      <c r="M19" s="287"/>
    </row>
    <row r="20" spans="2:13" ht="15" customHeight="1" x14ac:dyDescent="0.25">
      <c r="B20" s="250" t="s">
        <v>410</v>
      </c>
      <c r="C20" s="230">
        <v>1096</v>
      </c>
      <c r="D20" s="371">
        <v>-0.4</v>
      </c>
      <c r="E20" s="230">
        <v>868</v>
      </c>
      <c r="F20" s="286">
        <v>6.5</v>
      </c>
      <c r="G20" s="246">
        <v>1139</v>
      </c>
      <c r="H20" s="271">
        <v>28.6</v>
      </c>
      <c r="I20" s="246">
        <v>926</v>
      </c>
      <c r="J20" s="286">
        <v>7</v>
      </c>
      <c r="M20" s="287"/>
    </row>
    <row r="21" spans="2:13" ht="15" customHeight="1" x14ac:dyDescent="0.25">
      <c r="B21" s="250" t="s">
        <v>411</v>
      </c>
      <c r="C21" s="230">
        <v>2461</v>
      </c>
      <c r="D21" s="371">
        <v>-4</v>
      </c>
      <c r="E21" s="230">
        <v>1861</v>
      </c>
      <c r="F21" s="286">
        <v>7.5</v>
      </c>
      <c r="G21" s="246">
        <v>2356</v>
      </c>
      <c r="H21" s="271">
        <v>9.4</v>
      </c>
      <c r="I21" s="246">
        <v>1787</v>
      </c>
      <c r="J21" s="286">
        <v>7.2</v>
      </c>
      <c r="M21" s="287"/>
    </row>
    <row r="22" spans="2:13" ht="15" customHeight="1" x14ac:dyDescent="0.25">
      <c r="B22" s="288" t="s">
        <v>15</v>
      </c>
      <c r="C22" s="289">
        <v>27177</v>
      </c>
      <c r="D22" s="372">
        <v>0.4</v>
      </c>
      <c r="E22" s="290">
        <v>21556</v>
      </c>
      <c r="F22" s="291">
        <v>7.3</v>
      </c>
      <c r="G22" s="292">
        <v>24301</v>
      </c>
      <c r="H22" s="370">
        <v>9</v>
      </c>
      <c r="I22" s="292">
        <v>19124</v>
      </c>
      <c r="J22" s="291">
        <v>6.5</v>
      </c>
      <c r="M22" s="287"/>
    </row>
    <row r="23" spans="2:13" ht="12" x14ac:dyDescent="0.25">
      <c r="B23" s="219"/>
      <c r="C23" s="293"/>
      <c r="D23" s="294"/>
      <c r="E23" s="293"/>
      <c r="F23" s="295"/>
      <c r="G23" s="293"/>
      <c r="H23" s="294"/>
      <c r="I23" s="293"/>
      <c r="J23" s="295"/>
    </row>
    <row r="24" spans="2:13" x14ac:dyDescent="0.2">
      <c r="B24" s="400" t="s">
        <v>324</v>
      </c>
      <c r="C24" s="400"/>
      <c r="D24" s="400"/>
      <c r="E24" s="400"/>
      <c r="F24" s="400"/>
      <c r="G24" s="400"/>
      <c r="H24" s="400"/>
      <c r="I24" s="400"/>
      <c r="J24" s="400"/>
    </row>
    <row r="25" spans="2:13" x14ac:dyDescent="0.2">
      <c r="B25" s="388" t="s">
        <v>412</v>
      </c>
      <c r="C25" s="400"/>
      <c r="D25" s="400"/>
      <c r="E25" s="400"/>
      <c r="F25" s="400"/>
      <c r="G25" s="400"/>
      <c r="H25" s="400"/>
      <c r="I25" s="400"/>
      <c r="J25" s="400"/>
    </row>
    <row r="26" spans="2:13" x14ac:dyDescent="0.2">
      <c r="B26" s="388" t="s">
        <v>413</v>
      </c>
      <c r="C26" s="400"/>
      <c r="D26" s="400"/>
      <c r="E26" s="400"/>
      <c r="F26" s="400"/>
      <c r="G26" s="400"/>
      <c r="H26" s="400"/>
      <c r="I26" s="400"/>
      <c r="J26" s="400"/>
    </row>
    <row r="27" spans="2:13" x14ac:dyDescent="0.2">
      <c r="B27" s="199"/>
      <c r="C27" s="296"/>
      <c r="D27" s="296"/>
      <c r="E27" s="296"/>
      <c r="F27" s="296"/>
      <c r="G27" s="296"/>
      <c r="H27" s="296"/>
      <c r="I27" s="99"/>
      <c r="J27" s="99"/>
    </row>
    <row r="28" spans="2:13" x14ac:dyDescent="0.2">
      <c r="B28" s="99"/>
      <c r="C28" s="99"/>
      <c r="D28" s="99"/>
      <c r="E28" s="99"/>
      <c r="F28" s="99"/>
      <c r="G28" s="99"/>
      <c r="H28" s="99"/>
      <c r="I28" s="99"/>
      <c r="J28" s="107" t="s">
        <v>177</v>
      </c>
      <c r="K28" s="282"/>
    </row>
    <row r="29" spans="2:13" x14ac:dyDescent="0.2">
      <c r="B29" s="99"/>
      <c r="C29" s="99"/>
      <c r="D29" s="99"/>
      <c r="E29" s="99"/>
      <c r="F29" s="99"/>
      <c r="G29" s="99"/>
      <c r="H29" s="99"/>
      <c r="I29" s="99"/>
      <c r="J29" s="99"/>
    </row>
    <row r="30" spans="2:13" x14ac:dyDescent="0.2">
      <c r="B30" s="99"/>
      <c r="C30" s="99"/>
      <c r="D30" s="99"/>
      <c r="E30" s="99"/>
      <c r="F30" s="99"/>
      <c r="G30" s="99"/>
      <c r="H30" s="99"/>
      <c r="I30" s="99"/>
      <c r="J30" s="99"/>
    </row>
    <row r="31" spans="2:13" x14ac:dyDescent="0.2">
      <c r="B31" s="99"/>
      <c r="C31" s="99"/>
      <c r="D31" s="99"/>
      <c r="E31" s="99"/>
      <c r="F31" s="99"/>
      <c r="G31" s="99"/>
      <c r="H31" s="99"/>
      <c r="I31" s="99"/>
      <c r="J31" s="99"/>
    </row>
  </sheetData>
  <mergeCells count="11">
    <mergeCell ref="B24:J24"/>
    <mergeCell ref="B25:J25"/>
    <mergeCell ref="B26:J26"/>
    <mergeCell ref="B3:G3"/>
    <mergeCell ref="B4:B6"/>
    <mergeCell ref="C4:F4"/>
    <mergeCell ref="G4:J4"/>
    <mergeCell ref="C5:D5"/>
    <mergeCell ref="E5:F5"/>
    <mergeCell ref="G5:H5"/>
    <mergeCell ref="I5:J5"/>
  </mergeCells>
  <hyperlinks>
    <hyperlink ref="J28" location="Inhaltsverzeichnis!A1" display="› Zurück zum Inhaltsverzeichnis" xr:uid="{DB7C2BDE-403B-44FE-96DB-9CCC43A3E7F2}"/>
  </hyperlinks>
  <pageMargins left="0.7" right="0.7" top="0.78740157499999996" bottom="0.78740157499999996"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FF046-CBA4-4EA0-8AED-14F0AE12B3F8}">
  <dimension ref="A1:H39"/>
  <sheetViews>
    <sheetView zoomScaleNormal="100" workbookViewId="0">
      <pane ySplit="5" topLeftCell="A6" activePane="bottomLeft" state="frozen"/>
      <selection activeCell="L12" sqref="L12"/>
      <selection pane="bottomLeft" activeCell="F43" sqref="F43"/>
    </sheetView>
  </sheetViews>
  <sheetFormatPr baseColWidth="10" defaultColWidth="11.375" defaultRowHeight="11.4" x14ac:dyDescent="0.2"/>
  <cols>
    <col min="1" max="1" width="2.75" customWidth="1"/>
    <col min="2" max="2" width="12.625" customWidth="1"/>
    <col min="3" max="3" width="13.75" customWidth="1"/>
    <col min="4" max="4" width="12.875" customWidth="1"/>
    <col min="5" max="5" width="13.75" customWidth="1"/>
    <col min="6" max="6" width="19" customWidth="1"/>
    <col min="7" max="7" width="13.75" customWidth="1"/>
    <col min="8" max="8" width="17.25" customWidth="1"/>
  </cols>
  <sheetData>
    <row r="1" spans="1:8" s="4" customFormat="1" ht="13.8" x14ac:dyDescent="0.2">
      <c r="C1" s="40"/>
      <c r="E1" s="41"/>
    </row>
    <row r="2" spans="1:8" s="203" customFormat="1" ht="20.100000000000001" customHeight="1" x14ac:dyDescent="0.25">
      <c r="A2" s="201"/>
      <c r="B2" s="202" t="s">
        <v>44</v>
      </c>
      <c r="C2" s="202"/>
      <c r="D2" s="202"/>
      <c r="E2" s="202"/>
      <c r="F2" s="202"/>
      <c r="G2" s="202"/>
    </row>
    <row r="3" spans="1:8" s="80" customFormat="1" ht="50.25" customHeight="1" x14ac:dyDescent="0.2">
      <c r="A3" s="65"/>
      <c r="B3" s="381" t="s">
        <v>414</v>
      </c>
      <c r="C3" s="381"/>
      <c r="D3" s="381"/>
      <c r="E3" s="381"/>
      <c r="F3" s="381"/>
      <c r="G3" s="381"/>
    </row>
    <row r="4" spans="1:8" ht="20.100000000000001" customHeight="1" x14ac:dyDescent="0.2">
      <c r="A4" s="204"/>
      <c r="B4" s="434" t="s">
        <v>0</v>
      </c>
      <c r="C4" s="432" t="s">
        <v>16</v>
      </c>
      <c r="D4" s="430" t="s">
        <v>415</v>
      </c>
      <c r="E4" s="430"/>
      <c r="F4" s="430"/>
      <c r="G4" s="430" t="s">
        <v>416</v>
      </c>
      <c r="H4" s="431"/>
    </row>
    <row r="5" spans="1:8" ht="24.6" x14ac:dyDescent="0.2">
      <c r="A5" s="204"/>
      <c r="B5" s="434"/>
      <c r="C5" s="432"/>
      <c r="D5" s="207" t="s">
        <v>417</v>
      </c>
      <c r="E5" s="205" t="s">
        <v>418</v>
      </c>
      <c r="F5" s="205" t="s">
        <v>419</v>
      </c>
      <c r="G5" s="205" t="s">
        <v>420</v>
      </c>
      <c r="H5" s="284" t="s">
        <v>421</v>
      </c>
    </row>
    <row r="6" spans="1:8" ht="15" customHeight="1" x14ac:dyDescent="0.2">
      <c r="A6" s="204"/>
      <c r="B6" s="297">
        <v>2001</v>
      </c>
      <c r="C6" s="230">
        <v>1737</v>
      </c>
      <c r="D6" s="230">
        <v>1064</v>
      </c>
      <c r="E6" s="230">
        <v>628</v>
      </c>
      <c r="F6" s="230">
        <v>45</v>
      </c>
      <c r="G6" s="230">
        <v>1072</v>
      </c>
      <c r="H6" s="230">
        <v>425</v>
      </c>
    </row>
    <row r="7" spans="1:8" ht="15" customHeight="1" x14ac:dyDescent="0.2">
      <c r="A7" s="204"/>
      <c r="B7" s="297">
        <v>2002</v>
      </c>
      <c r="C7" s="230">
        <v>3712</v>
      </c>
      <c r="D7" s="230">
        <v>2849</v>
      </c>
      <c r="E7" s="230">
        <v>825</v>
      </c>
      <c r="F7" s="230">
        <v>38</v>
      </c>
      <c r="G7" s="230">
        <v>1388</v>
      </c>
      <c r="H7" s="230">
        <v>772</v>
      </c>
    </row>
    <row r="8" spans="1:8" ht="15" customHeight="1" x14ac:dyDescent="0.2">
      <c r="A8" s="204"/>
      <c r="B8" s="297">
        <v>2003</v>
      </c>
      <c r="C8" s="230">
        <v>4507</v>
      </c>
      <c r="D8" s="230">
        <v>3489</v>
      </c>
      <c r="E8" s="230">
        <v>974</v>
      </c>
      <c r="F8" s="230">
        <v>44</v>
      </c>
      <c r="G8" s="230">
        <v>1420</v>
      </c>
      <c r="H8" s="230">
        <v>1222</v>
      </c>
    </row>
    <row r="9" spans="1:8" ht="15" customHeight="1" x14ac:dyDescent="0.2">
      <c r="A9" s="204"/>
      <c r="B9" s="297">
        <v>2004</v>
      </c>
      <c r="C9" s="230">
        <v>4984</v>
      </c>
      <c r="D9" s="230">
        <v>4115</v>
      </c>
      <c r="E9" s="230">
        <v>800</v>
      </c>
      <c r="F9" s="230">
        <v>69</v>
      </c>
      <c r="G9" s="230">
        <v>1516</v>
      </c>
      <c r="H9" s="230">
        <v>1761</v>
      </c>
    </row>
    <row r="10" spans="1:8" ht="15" customHeight="1" x14ac:dyDescent="0.2">
      <c r="A10" s="204"/>
      <c r="B10" s="297">
        <v>2005</v>
      </c>
      <c r="C10" s="230">
        <v>5788</v>
      </c>
      <c r="D10" s="230">
        <v>5074</v>
      </c>
      <c r="E10" s="230">
        <v>662</v>
      </c>
      <c r="F10" s="230">
        <v>52</v>
      </c>
      <c r="G10" s="230">
        <v>1387</v>
      </c>
      <c r="H10" s="230">
        <v>2788</v>
      </c>
    </row>
    <row r="11" spans="1:8" ht="15" customHeight="1" x14ac:dyDescent="0.2">
      <c r="B11" s="297"/>
      <c r="C11" s="230"/>
      <c r="D11" s="230"/>
      <c r="E11" s="230"/>
      <c r="F11" s="230"/>
      <c r="G11" s="230"/>
      <c r="H11" s="230"/>
    </row>
    <row r="12" spans="1:8" ht="15" customHeight="1" x14ac:dyDescent="0.2">
      <c r="B12" s="297">
        <v>2006</v>
      </c>
      <c r="C12" s="230">
        <v>7315</v>
      </c>
      <c r="D12" s="230">
        <v>6663</v>
      </c>
      <c r="E12" s="230">
        <v>585</v>
      </c>
      <c r="F12" s="230">
        <v>67</v>
      </c>
      <c r="G12" s="230">
        <v>1317</v>
      </c>
      <c r="H12" s="230">
        <v>4330</v>
      </c>
    </row>
    <row r="13" spans="1:8" ht="15" customHeight="1" x14ac:dyDescent="0.2">
      <c r="B13" s="297">
        <v>2007</v>
      </c>
      <c r="C13" s="230">
        <v>7181</v>
      </c>
      <c r="D13" s="230">
        <v>6606</v>
      </c>
      <c r="E13" s="230">
        <v>476</v>
      </c>
      <c r="F13" s="230">
        <v>99</v>
      </c>
      <c r="G13" s="230">
        <v>1095</v>
      </c>
      <c r="H13" s="230">
        <v>4592</v>
      </c>
    </row>
    <row r="14" spans="1:8" ht="15" customHeight="1" x14ac:dyDescent="0.2">
      <c r="B14" s="297">
        <v>2008</v>
      </c>
      <c r="C14" s="230">
        <v>6671</v>
      </c>
      <c r="D14" s="230">
        <v>6224</v>
      </c>
      <c r="E14" s="230">
        <v>387</v>
      </c>
      <c r="F14" s="230">
        <v>60</v>
      </c>
      <c r="G14" s="230">
        <v>1114</v>
      </c>
      <c r="H14" s="230">
        <v>4223</v>
      </c>
    </row>
    <row r="15" spans="1:8" ht="15" customHeight="1" x14ac:dyDescent="0.2">
      <c r="B15" s="297">
        <v>2009</v>
      </c>
      <c r="C15" s="230">
        <v>6976</v>
      </c>
      <c r="D15" s="230">
        <v>6489</v>
      </c>
      <c r="E15" s="230">
        <v>430</v>
      </c>
      <c r="F15" s="230">
        <v>57</v>
      </c>
      <c r="G15" s="230">
        <v>1203</v>
      </c>
      <c r="H15" s="230">
        <v>4349</v>
      </c>
    </row>
    <row r="16" spans="1:8" ht="15" customHeight="1" x14ac:dyDescent="0.2">
      <c r="B16" s="297">
        <v>2010</v>
      </c>
      <c r="C16" s="230">
        <v>7287</v>
      </c>
      <c r="D16" s="230">
        <v>6772</v>
      </c>
      <c r="E16" s="230">
        <v>446</v>
      </c>
      <c r="F16" s="230">
        <v>69</v>
      </c>
      <c r="G16" s="230">
        <v>1233</v>
      </c>
      <c r="H16" s="230">
        <v>4615</v>
      </c>
    </row>
    <row r="17" spans="1:8" ht="15" customHeight="1" x14ac:dyDescent="0.2">
      <c r="B17" s="297"/>
      <c r="C17" s="230"/>
      <c r="D17" s="230"/>
      <c r="E17" s="230"/>
      <c r="F17" s="230"/>
      <c r="G17" s="230"/>
      <c r="H17" s="230"/>
    </row>
    <row r="18" spans="1:8" ht="15" customHeight="1" x14ac:dyDescent="0.2">
      <c r="B18" s="297">
        <v>2011</v>
      </c>
      <c r="C18" s="230">
        <v>6803</v>
      </c>
      <c r="D18" s="230">
        <v>6368</v>
      </c>
      <c r="E18" s="230">
        <v>382</v>
      </c>
      <c r="F18" s="230">
        <v>53</v>
      </c>
      <c r="G18" s="230">
        <v>1104</v>
      </c>
      <c r="H18" s="230">
        <v>4412</v>
      </c>
    </row>
    <row r="19" spans="1:8" ht="15" customHeight="1" x14ac:dyDescent="0.2">
      <c r="B19" s="297">
        <v>2012</v>
      </c>
      <c r="C19" s="230">
        <v>6477</v>
      </c>
      <c r="D19" s="230">
        <v>6049</v>
      </c>
      <c r="E19" s="230">
        <v>366</v>
      </c>
      <c r="F19" s="230">
        <v>62</v>
      </c>
      <c r="G19" s="230">
        <v>1143</v>
      </c>
      <c r="H19" s="230">
        <v>4175</v>
      </c>
    </row>
    <row r="20" spans="1:8" ht="15" customHeight="1" x14ac:dyDescent="0.2">
      <c r="B20" s="297">
        <v>2013</v>
      </c>
      <c r="C20" s="230">
        <v>5928</v>
      </c>
      <c r="D20" s="230">
        <v>5538</v>
      </c>
      <c r="E20" s="230">
        <v>342</v>
      </c>
      <c r="F20" s="230">
        <v>48</v>
      </c>
      <c r="G20" s="230">
        <v>1026</v>
      </c>
      <c r="H20" s="230">
        <v>3858</v>
      </c>
    </row>
    <row r="21" spans="1:8" ht="15" customHeight="1" x14ac:dyDescent="0.2">
      <c r="B21" s="297">
        <v>2014</v>
      </c>
      <c r="C21" s="230">
        <v>5796</v>
      </c>
      <c r="D21" s="230">
        <v>5467</v>
      </c>
      <c r="E21" s="230">
        <v>287</v>
      </c>
      <c r="F21" s="230">
        <v>42</v>
      </c>
      <c r="G21" s="230">
        <v>987</v>
      </c>
      <c r="H21" s="230">
        <v>3835</v>
      </c>
    </row>
    <row r="22" spans="1:8" ht="15" customHeight="1" x14ac:dyDescent="0.2">
      <c r="B22" s="297">
        <v>2015</v>
      </c>
      <c r="C22" s="230">
        <v>5384</v>
      </c>
      <c r="D22" s="230">
        <v>5033</v>
      </c>
      <c r="E22" s="230">
        <v>282</v>
      </c>
      <c r="F22" s="230">
        <v>69</v>
      </c>
      <c r="G22" s="230">
        <v>1027</v>
      </c>
      <c r="H22" s="230">
        <v>3569</v>
      </c>
    </row>
    <row r="23" spans="1:8" ht="15" customHeight="1" x14ac:dyDescent="0.2">
      <c r="B23" s="297"/>
      <c r="C23" s="230"/>
      <c r="D23" s="230"/>
      <c r="E23" s="230"/>
      <c r="F23" s="230"/>
      <c r="G23" s="230"/>
      <c r="H23" s="230"/>
    </row>
    <row r="24" spans="1:8" ht="15" customHeight="1" x14ac:dyDescent="0.2">
      <c r="B24" s="297">
        <v>2016</v>
      </c>
      <c r="C24" s="230">
        <v>5067</v>
      </c>
      <c r="D24" s="230">
        <v>4745</v>
      </c>
      <c r="E24" s="230">
        <v>256</v>
      </c>
      <c r="F24" s="230">
        <v>66</v>
      </c>
      <c r="G24" s="230">
        <v>956</v>
      </c>
      <c r="H24" s="230">
        <v>3324</v>
      </c>
    </row>
    <row r="25" spans="1:8" ht="15" customHeight="1" x14ac:dyDescent="0.2">
      <c r="B25" s="297">
        <v>2017</v>
      </c>
      <c r="C25" s="230">
        <v>5003</v>
      </c>
      <c r="D25" s="230">
        <v>4683</v>
      </c>
      <c r="E25" s="230">
        <v>279</v>
      </c>
      <c r="F25" s="230">
        <v>41</v>
      </c>
      <c r="G25" s="230">
        <v>888</v>
      </c>
      <c r="H25" s="230">
        <v>3237</v>
      </c>
    </row>
    <row r="26" spans="1:8" ht="15" customHeight="1" x14ac:dyDescent="0.2">
      <c r="B26" s="297">
        <v>2018</v>
      </c>
      <c r="C26" s="230">
        <v>4688</v>
      </c>
      <c r="D26" s="230">
        <v>4408</v>
      </c>
      <c r="E26" s="230">
        <v>229</v>
      </c>
      <c r="F26" s="230">
        <v>51</v>
      </c>
      <c r="G26" s="230">
        <v>768</v>
      </c>
      <c r="H26" s="230">
        <v>3087</v>
      </c>
    </row>
    <row r="27" spans="1:8" ht="15" customHeight="1" x14ac:dyDescent="0.2">
      <c r="B27" s="297">
        <v>2019</v>
      </c>
      <c r="C27" s="230">
        <v>4713</v>
      </c>
      <c r="D27" s="230">
        <v>4427</v>
      </c>
      <c r="E27" s="230">
        <v>249</v>
      </c>
      <c r="F27" s="230">
        <v>37</v>
      </c>
      <c r="G27" s="230">
        <v>787</v>
      </c>
      <c r="H27" s="230">
        <v>3073</v>
      </c>
    </row>
    <row r="28" spans="1:8" ht="15" customHeight="1" x14ac:dyDescent="0.2">
      <c r="B28" s="297">
        <v>2020</v>
      </c>
      <c r="C28" s="230">
        <v>3024</v>
      </c>
      <c r="D28" s="230">
        <v>2797</v>
      </c>
      <c r="E28" s="230">
        <v>185</v>
      </c>
      <c r="F28" s="230">
        <v>42</v>
      </c>
      <c r="G28" s="230">
        <v>534</v>
      </c>
      <c r="H28" s="230">
        <v>1859</v>
      </c>
    </row>
    <row r="29" spans="1:8" ht="15" customHeight="1" x14ac:dyDescent="0.2">
      <c r="B29" s="297"/>
      <c r="C29" s="230"/>
      <c r="D29" s="230"/>
      <c r="E29" s="230"/>
      <c r="F29" s="230"/>
      <c r="G29" s="230"/>
      <c r="H29" s="230"/>
    </row>
    <row r="30" spans="1:8" ht="15" customHeight="1" x14ac:dyDescent="0.2">
      <c r="B30" s="297">
        <v>2021</v>
      </c>
      <c r="C30" s="230">
        <v>5015</v>
      </c>
      <c r="D30" s="230">
        <v>4834</v>
      </c>
      <c r="E30" s="230">
        <v>153</v>
      </c>
      <c r="F30" s="230">
        <v>28</v>
      </c>
      <c r="G30" s="230">
        <v>446</v>
      </c>
      <c r="H30" s="230">
        <v>3655</v>
      </c>
    </row>
    <row r="31" spans="1:8" ht="15" customHeight="1" x14ac:dyDescent="0.2">
      <c r="B31" s="297">
        <v>2022</v>
      </c>
      <c r="C31" s="230">
        <v>4376</v>
      </c>
      <c r="D31" s="230">
        <v>4198</v>
      </c>
      <c r="E31" s="230">
        <v>164</v>
      </c>
      <c r="F31" s="230">
        <v>14</v>
      </c>
      <c r="G31" s="230">
        <v>520</v>
      </c>
      <c r="H31" s="230">
        <v>2938</v>
      </c>
    </row>
    <row r="32" spans="1:8" ht="15" customHeight="1" x14ac:dyDescent="0.2">
      <c r="A32" s="99"/>
      <c r="B32" s="297">
        <v>2023</v>
      </c>
      <c r="C32" s="230">
        <v>4728</v>
      </c>
      <c r="D32" s="230">
        <v>4547</v>
      </c>
      <c r="E32" s="230">
        <v>172</v>
      </c>
      <c r="F32" s="230">
        <v>9</v>
      </c>
      <c r="G32" s="230">
        <v>685</v>
      </c>
      <c r="H32" s="230">
        <v>3068</v>
      </c>
    </row>
    <row r="33" spans="1:8" ht="15" customHeight="1" x14ac:dyDescent="0.2">
      <c r="A33" s="99"/>
      <c r="B33" s="251">
        <v>2024</v>
      </c>
      <c r="C33" s="252">
        <v>5184</v>
      </c>
      <c r="D33" s="252">
        <v>4993</v>
      </c>
      <c r="E33" s="252">
        <v>182</v>
      </c>
      <c r="F33" s="252">
        <v>9</v>
      </c>
      <c r="G33" s="252">
        <v>833</v>
      </c>
      <c r="H33" s="252">
        <v>3300</v>
      </c>
    </row>
    <row r="34" spans="1:8" x14ac:dyDescent="0.2">
      <c r="B34" s="247"/>
      <c r="C34" s="298"/>
      <c r="D34" s="298"/>
      <c r="E34" s="298"/>
      <c r="F34" s="298"/>
      <c r="G34" s="299"/>
      <c r="H34" s="299"/>
    </row>
    <row r="35" spans="1:8" x14ac:dyDescent="0.2">
      <c r="B35" s="419" t="s">
        <v>422</v>
      </c>
      <c r="C35" s="419"/>
      <c r="D35" s="419"/>
      <c r="E35" s="419"/>
      <c r="F35" s="419"/>
      <c r="G35" s="419"/>
      <c r="H35" s="419"/>
    </row>
    <row r="37" spans="1:8" x14ac:dyDescent="0.2">
      <c r="B37" s="433"/>
      <c r="C37" s="433"/>
      <c r="D37" s="433"/>
      <c r="E37" s="433"/>
      <c r="F37" s="433"/>
      <c r="G37" s="433"/>
      <c r="H37" s="433"/>
    </row>
    <row r="39" spans="1:8" x14ac:dyDescent="0.2">
      <c r="H39" s="107" t="s">
        <v>177</v>
      </c>
    </row>
  </sheetData>
  <mergeCells count="7">
    <mergeCell ref="B37:H37"/>
    <mergeCell ref="B3:G3"/>
    <mergeCell ref="B4:B5"/>
    <mergeCell ref="C4:C5"/>
    <mergeCell ref="D4:F4"/>
    <mergeCell ref="G4:H4"/>
    <mergeCell ref="B35:H35"/>
  </mergeCells>
  <hyperlinks>
    <hyperlink ref="H39" location="Inhaltsverzeichnis!A1" display="› Zurück zum Inhaltsverzeichnis" xr:uid="{8E8BC3D5-3B23-4345-AA69-1A79C5A73EF9}"/>
  </hyperlinks>
  <pageMargins left="0.7" right="0.7" top="0.78740157499999996" bottom="0.78740157499999996"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8FA11-BF4F-4060-AE91-3910659EE26F}">
  <dimension ref="A1:K67"/>
  <sheetViews>
    <sheetView zoomScaleNormal="100" workbookViewId="0"/>
  </sheetViews>
  <sheetFormatPr baseColWidth="10" defaultColWidth="10.875" defaultRowHeight="11.4" x14ac:dyDescent="0.2"/>
  <cols>
    <col min="1" max="1" width="2.75" style="122" customWidth="1"/>
    <col min="2" max="2" width="18.875" style="124" bestFit="1" customWidth="1"/>
    <col min="3" max="3" width="4" style="122" bestFit="1" customWidth="1"/>
    <col min="4" max="6" width="36" style="122" customWidth="1"/>
    <col min="7" max="9" width="12.75" style="122" customWidth="1"/>
    <col min="10" max="16384" width="10.875" style="122"/>
  </cols>
  <sheetData>
    <row r="1" spans="1:9" s="4" customFormat="1" ht="13.8" x14ac:dyDescent="0.2">
      <c r="B1" s="43"/>
      <c r="D1" s="41"/>
    </row>
    <row r="2" spans="1:9" s="203" customFormat="1" ht="20.100000000000001" customHeight="1" x14ac:dyDescent="0.25">
      <c r="A2" s="201"/>
      <c r="B2" s="253" t="s">
        <v>44</v>
      </c>
      <c r="D2" s="254"/>
    </row>
    <row r="3" spans="1:9" s="80" customFormat="1" ht="50.25" customHeight="1" x14ac:dyDescent="0.2">
      <c r="A3" s="65"/>
      <c r="B3" s="381" t="s">
        <v>424</v>
      </c>
      <c r="C3" s="391"/>
      <c r="D3" s="391"/>
      <c r="E3" s="391"/>
      <c r="F3" s="391"/>
      <c r="G3" s="82"/>
      <c r="H3" s="82"/>
    </row>
    <row r="4" spans="1:9" ht="35.25" customHeight="1" x14ac:dyDescent="0.25">
      <c r="F4" s="159"/>
      <c r="G4" s="159"/>
      <c r="H4" s="159"/>
      <c r="I4" s="159"/>
    </row>
    <row r="5" spans="1:9" ht="13.8" x14ac:dyDescent="0.25">
      <c r="D5" s="156" t="str">
        <f>B3</f>
        <v>Grafik 4: Insolvenzverfahren in Schleswig-Holstein 2001 – 2024</v>
      </c>
      <c r="F5" s="159"/>
      <c r="G5" s="159"/>
      <c r="H5" s="159"/>
      <c r="I5" s="159"/>
    </row>
    <row r="6" spans="1:9" ht="13.2" x14ac:dyDescent="0.25">
      <c r="F6" s="159"/>
      <c r="G6" s="159"/>
      <c r="H6" s="159"/>
      <c r="I6" s="159"/>
    </row>
    <row r="7" spans="1:9" ht="12.75" customHeight="1" x14ac:dyDescent="0.2">
      <c r="B7" s="123"/>
      <c r="F7" s="4"/>
      <c r="G7" s="4"/>
      <c r="H7" s="4"/>
      <c r="I7" s="4"/>
    </row>
    <row r="8" spans="1:9" x14ac:dyDescent="0.2">
      <c r="F8" s="4"/>
      <c r="G8" s="4"/>
      <c r="H8" s="4"/>
      <c r="I8" s="4"/>
    </row>
    <row r="9" spans="1:9" x14ac:dyDescent="0.2">
      <c r="F9" s="4"/>
      <c r="G9" s="4"/>
      <c r="H9" s="4"/>
      <c r="I9" s="4"/>
    </row>
    <row r="10" spans="1:9" x14ac:dyDescent="0.2">
      <c r="F10" s="4"/>
      <c r="G10" s="4"/>
      <c r="H10" s="4"/>
      <c r="I10" s="4"/>
    </row>
    <row r="11" spans="1:9" x14ac:dyDescent="0.2">
      <c r="F11" s="4"/>
      <c r="G11" s="4"/>
      <c r="H11" s="4"/>
      <c r="I11" s="4"/>
    </row>
    <row r="12" spans="1:9" x14ac:dyDescent="0.2">
      <c r="F12" s="259"/>
      <c r="G12" s="4"/>
      <c r="H12" s="4"/>
      <c r="I12" s="126"/>
    </row>
    <row r="13" spans="1:9" x14ac:dyDescent="0.2">
      <c r="F13" s="127"/>
      <c r="G13" s="4"/>
      <c r="H13" s="4"/>
      <c r="I13" s="126"/>
    </row>
    <row r="14" spans="1:9" x14ac:dyDescent="0.2">
      <c r="F14" s="127"/>
      <c r="G14" s="4"/>
      <c r="H14" s="4"/>
      <c r="I14" s="126"/>
    </row>
    <row r="15" spans="1:9" x14ac:dyDescent="0.2">
      <c r="F15" s="127"/>
      <c r="G15" s="4"/>
      <c r="H15" s="4"/>
      <c r="I15" s="126"/>
    </row>
    <row r="16" spans="1:9" x14ac:dyDescent="0.2">
      <c r="F16" s="127"/>
      <c r="G16" s="4"/>
      <c r="H16" s="4"/>
      <c r="I16" s="126"/>
    </row>
    <row r="17" spans="5:9" x14ac:dyDescent="0.2">
      <c r="F17" s="127"/>
      <c r="G17" s="4"/>
      <c r="H17" s="4"/>
      <c r="I17" s="126"/>
    </row>
    <row r="18" spans="5:9" x14ac:dyDescent="0.2">
      <c r="F18" s="127"/>
      <c r="G18" s="4"/>
      <c r="H18" s="4"/>
      <c r="I18" s="126"/>
    </row>
    <row r="19" spans="5:9" x14ac:dyDescent="0.2">
      <c r="F19" s="127"/>
      <c r="G19" s="4"/>
      <c r="H19" s="4"/>
      <c r="I19" s="126"/>
    </row>
    <row r="20" spans="5:9" x14ac:dyDescent="0.2">
      <c r="F20" s="127"/>
      <c r="G20" s="4"/>
      <c r="H20" s="4"/>
      <c r="I20" s="126"/>
    </row>
    <row r="21" spans="5:9" x14ac:dyDescent="0.2">
      <c r="F21" s="127"/>
      <c r="G21" s="4"/>
      <c r="H21" s="4"/>
      <c r="I21" s="126"/>
    </row>
    <row r="22" spans="5:9" x14ac:dyDescent="0.2">
      <c r="F22" s="127"/>
      <c r="G22" s="4"/>
      <c r="H22" s="4"/>
      <c r="I22" s="126"/>
    </row>
    <row r="23" spans="5:9" x14ac:dyDescent="0.2">
      <c r="F23" s="127"/>
      <c r="G23" s="4"/>
      <c r="H23" s="4"/>
      <c r="I23" s="4"/>
    </row>
    <row r="24" spans="5:9" x14ac:dyDescent="0.2">
      <c r="F24" s="127"/>
      <c r="G24" s="4"/>
      <c r="H24" s="4"/>
      <c r="I24" s="4"/>
    </row>
    <row r="25" spans="5:9" x14ac:dyDescent="0.2">
      <c r="F25" s="127"/>
      <c r="G25" s="4"/>
      <c r="H25" s="4"/>
      <c r="I25" s="4"/>
    </row>
    <row r="26" spans="5:9" x14ac:dyDescent="0.2">
      <c r="F26" s="127"/>
      <c r="G26" s="4"/>
      <c r="H26" s="4"/>
      <c r="I26" s="4"/>
    </row>
    <row r="27" spans="5:9" x14ac:dyDescent="0.2">
      <c r="F27" s="127"/>
      <c r="G27" s="4"/>
      <c r="H27" s="4"/>
      <c r="I27" s="4"/>
    </row>
    <row r="28" spans="5:9" x14ac:dyDescent="0.2">
      <c r="E28" s="4"/>
      <c r="F28" s="4"/>
      <c r="G28" s="4"/>
      <c r="H28" s="4"/>
      <c r="I28" s="4"/>
    </row>
    <row r="29" spans="5:9" x14ac:dyDescent="0.2">
      <c r="E29" s="4"/>
      <c r="F29" s="4"/>
      <c r="G29" s="4"/>
      <c r="H29" s="4"/>
      <c r="I29" s="4"/>
    </row>
    <row r="37" spans="2:11" ht="13.8" x14ac:dyDescent="0.2">
      <c r="B37" s="123"/>
      <c r="C37" s="129"/>
      <c r="D37" s="156" t="str">
        <f>B3</f>
        <v>Grafik 4: Insolvenzverfahren in Schleswig-Holstein 2001 – 2024</v>
      </c>
      <c r="F37" s="4"/>
      <c r="G37" s="4"/>
      <c r="H37" s="4"/>
      <c r="I37" s="4"/>
    </row>
    <row r="38" spans="2:11" ht="13.8" x14ac:dyDescent="0.2">
      <c r="B38" s="123"/>
      <c r="C38" s="129"/>
      <c r="D38" s="156"/>
      <c r="F38" s="4"/>
      <c r="G38" s="4"/>
      <c r="H38" s="4"/>
      <c r="I38" s="4"/>
    </row>
    <row r="39" spans="2:11" ht="15" customHeight="1" x14ac:dyDescent="0.2">
      <c r="B39" s="123"/>
      <c r="C39" s="129"/>
      <c r="D39" s="436" t="s">
        <v>0</v>
      </c>
      <c r="E39" s="438" t="s">
        <v>16</v>
      </c>
      <c r="F39" s="439" t="s">
        <v>425</v>
      </c>
      <c r="G39" s="4"/>
      <c r="H39" s="4"/>
      <c r="I39" s="4"/>
    </row>
    <row r="40" spans="2:11" ht="15.75" customHeight="1" x14ac:dyDescent="0.2">
      <c r="B40" s="123"/>
      <c r="C40" s="129"/>
      <c r="D40" s="437"/>
      <c r="E40" s="417"/>
      <c r="F40" s="418" t="s">
        <v>426</v>
      </c>
      <c r="G40" s="4"/>
      <c r="H40" s="4"/>
      <c r="I40" s="4"/>
    </row>
    <row r="41" spans="2:11" ht="15" customHeight="1" x14ac:dyDescent="0.2">
      <c r="B41" s="123"/>
      <c r="C41" s="129"/>
      <c r="D41" s="250">
        <v>2001</v>
      </c>
      <c r="E41" s="230">
        <v>1737</v>
      </c>
      <c r="F41" s="230">
        <v>425</v>
      </c>
      <c r="G41" s="4"/>
      <c r="H41" s="4"/>
      <c r="I41" s="4"/>
    </row>
    <row r="42" spans="2:11" ht="15" customHeight="1" x14ac:dyDescent="0.2">
      <c r="B42" s="123"/>
      <c r="C42" s="129"/>
      <c r="D42" s="250">
        <v>2002</v>
      </c>
      <c r="E42" s="230">
        <v>3712</v>
      </c>
      <c r="F42" s="230">
        <v>772</v>
      </c>
      <c r="G42" s="4"/>
      <c r="H42" s="4"/>
      <c r="I42" s="4"/>
    </row>
    <row r="43" spans="2:11" ht="15" customHeight="1" x14ac:dyDescent="0.2">
      <c r="B43" s="123"/>
      <c r="D43" s="250">
        <v>2003</v>
      </c>
      <c r="E43" s="230">
        <v>4507</v>
      </c>
      <c r="F43" s="230">
        <v>1222</v>
      </c>
      <c r="G43" s="4"/>
      <c r="H43" s="4"/>
      <c r="I43" s="4"/>
    </row>
    <row r="44" spans="2:11" ht="15" customHeight="1" x14ac:dyDescent="0.2">
      <c r="D44" s="250">
        <v>2004</v>
      </c>
      <c r="E44" s="230">
        <v>4984</v>
      </c>
      <c r="F44" s="230">
        <v>1761</v>
      </c>
      <c r="H44" s="435"/>
      <c r="I44" s="435"/>
      <c r="J44" s="300"/>
      <c r="K44" s="4"/>
    </row>
    <row r="45" spans="2:11" ht="15" customHeight="1" x14ac:dyDescent="0.2">
      <c r="D45" s="250">
        <v>2005</v>
      </c>
      <c r="E45" s="230">
        <v>5788</v>
      </c>
      <c r="F45" s="230">
        <v>2788</v>
      </c>
      <c r="H45" s="435"/>
      <c r="I45" s="435"/>
      <c r="J45" s="301"/>
      <c r="K45" s="4"/>
    </row>
    <row r="46" spans="2:11" ht="15" customHeight="1" x14ac:dyDescent="0.2">
      <c r="D46" s="250">
        <v>2006</v>
      </c>
      <c r="E46" s="230">
        <v>7315</v>
      </c>
      <c r="F46" s="230">
        <v>4330</v>
      </c>
      <c r="H46" s="302"/>
      <c r="I46" s="303"/>
      <c r="J46" s="304"/>
      <c r="K46" s="305"/>
    </row>
    <row r="47" spans="2:11" ht="15" customHeight="1" x14ac:dyDescent="0.2">
      <c r="D47" s="250">
        <v>2007</v>
      </c>
      <c r="E47" s="230">
        <v>7181</v>
      </c>
      <c r="F47" s="230">
        <v>4592</v>
      </c>
      <c r="H47" s="302"/>
      <c r="I47" s="303"/>
      <c r="J47" s="304"/>
      <c r="K47" s="305"/>
    </row>
    <row r="48" spans="2:11" ht="15" customHeight="1" x14ac:dyDescent="0.2">
      <c r="D48" s="250">
        <v>2008</v>
      </c>
      <c r="E48" s="230">
        <v>6671</v>
      </c>
      <c r="F48" s="230">
        <v>4223</v>
      </c>
      <c r="H48" s="302"/>
      <c r="I48" s="303"/>
      <c r="J48" s="304"/>
      <c r="K48" s="305"/>
    </row>
    <row r="49" spans="2:11" ht="15" customHeight="1" x14ac:dyDescent="0.2">
      <c r="D49" s="250">
        <v>2009</v>
      </c>
      <c r="E49" s="230">
        <v>6976</v>
      </c>
      <c r="F49" s="230">
        <v>4349</v>
      </c>
      <c r="H49" s="302"/>
      <c r="I49" s="303"/>
      <c r="J49" s="304"/>
      <c r="K49" s="305"/>
    </row>
    <row r="50" spans="2:11" ht="15" customHeight="1" x14ac:dyDescent="0.2">
      <c r="D50" s="250">
        <v>2010</v>
      </c>
      <c r="E50" s="230">
        <v>7287</v>
      </c>
      <c r="F50" s="230">
        <v>4615</v>
      </c>
      <c r="H50" s="302"/>
      <c r="I50" s="303"/>
      <c r="J50" s="304"/>
      <c r="K50" s="305"/>
    </row>
    <row r="51" spans="2:11" ht="15" customHeight="1" x14ac:dyDescent="0.2">
      <c r="D51" s="250">
        <v>2011</v>
      </c>
      <c r="E51" s="230">
        <v>6803</v>
      </c>
      <c r="F51" s="230">
        <v>4412</v>
      </c>
      <c r="H51" s="302"/>
      <c r="I51" s="303"/>
      <c r="J51" s="304"/>
      <c r="K51" s="305"/>
    </row>
    <row r="52" spans="2:11" s="4" customFormat="1" ht="15" customHeight="1" x14ac:dyDescent="0.2">
      <c r="B52" s="306"/>
      <c r="C52" s="307"/>
      <c r="D52" s="250">
        <v>2012</v>
      </c>
      <c r="E52" s="230">
        <v>6477</v>
      </c>
      <c r="F52" s="230">
        <v>4175</v>
      </c>
      <c r="G52" s="307"/>
      <c r="H52" s="302"/>
      <c r="I52" s="303"/>
      <c r="J52" s="304"/>
      <c r="K52" s="305"/>
    </row>
    <row r="53" spans="2:11" s="4" customFormat="1" ht="15" customHeight="1" x14ac:dyDescent="0.2">
      <c r="B53" s="308"/>
      <c r="D53" s="250">
        <v>2013</v>
      </c>
      <c r="E53" s="230">
        <v>5928</v>
      </c>
      <c r="F53" s="230">
        <v>3858</v>
      </c>
      <c r="G53" s="307"/>
      <c r="H53" s="302"/>
      <c r="I53" s="303"/>
      <c r="J53" s="304"/>
      <c r="K53" s="305"/>
    </row>
    <row r="54" spans="2:11" s="4" customFormat="1" ht="15" customHeight="1" x14ac:dyDescent="0.2">
      <c r="B54" s="308"/>
      <c r="D54" s="250">
        <v>2014</v>
      </c>
      <c r="E54" s="230">
        <v>5796</v>
      </c>
      <c r="F54" s="230">
        <v>3835</v>
      </c>
      <c r="H54" s="302"/>
      <c r="I54" s="303"/>
      <c r="J54" s="304"/>
      <c r="K54" s="305"/>
    </row>
    <row r="55" spans="2:11" s="4" customFormat="1" ht="15" customHeight="1" x14ac:dyDescent="0.2">
      <c r="B55" s="308"/>
      <c r="D55" s="250">
        <v>2015</v>
      </c>
      <c r="E55" s="230">
        <v>5384</v>
      </c>
      <c r="F55" s="230">
        <v>3569</v>
      </c>
      <c r="G55" s="309"/>
      <c r="H55" s="302"/>
      <c r="I55" s="303"/>
      <c r="J55" s="304"/>
      <c r="K55" s="305"/>
    </row>
    <row r="56" spans="2:11" ht="15" customHeight="1" x14ac:dyDescent="0.2">
      <c r="D56" s="250">
        <v>2016</v>
      </c>
      <c r="E56" s="230">
        <v>5067</v>
      </c>
      <c r="F56" s="230">
        <v>3324</v>
      </c>
      <c r="H56" s="302"/>
      <c r="I56" s="303"/>
      <c r="J56" s="304"/>
      <c r="K56" s="305"/>
    </row>
    <row r="57" spans="2:11" ht="15" customHeight="1" x14ac:dyDescent="0.2">
      <c r="D57" s="250">
        <v>2017</v>
      </c>
      <c r="E57" s="230">
        <v>5003</v>
      </c>
      <c r="F57" s="230">
        <v>3237</v>
      </c>
      <c r="H57" s="302"/>
      <c r="I57" s="303"/>
      <c r="J57" s="304"/>
      <c r="K57" s="305"/>
    </row>
    <row r="58" spans="2:11" ht="15" customHeight="1" x14ac:dyDescent="0.2">
      <c r="D58" s="250">
        <v>2018</v>
      </c>
      <c r="E58" s="230">
        <v>4688</v>
      </c>
      <c r="F58" s="230">
        <v>3087</v>
      </c>
      <c r="H58" s="302"/>
      <c r="I58" s="303"/>
      <c r="J58" s="304"/>
      <c r="K58" s="305"/>
    </row>
    <row r="59" spans="2:11" ht="15" customHeight="1" x14ac:dyDescent="0.2">
      <c r="D59" s="250">
        <v>2019</v>
      </c>
      <c r="E59" s="230">
        <v>4713</v>
      </c>
      <c r="F59" s="230">
        <v>3073</v>
      </c>
      <c r="H59" s="302"/>
      <c r="I59" s="303"/>
      <c r="J59" s="304"/>
      <c r="K59" s="305"/>
    </row>
    <row r="60" spans="2:11" ht="15" customHeight="1" x14ac:dyDescent="0.2">
      <c r="D60" s="250">
        <v>2020</v>
      </c>
      <c r="E60" s="230">
        <v>3024</v>
      </c>
      <c r="F60" s="230">
        <v>1859</v>
      </c>
      <c r="H60" s="302"/>
      <c r="I60" s="303"/>
      <c r="J60" s="304"/>
      <c r="K60" s="305"/>
    </row>
    <row r="61" spans="2:11" ht="15" customHeight="1" x14ac:dyDescent="0.2">
      <c r="D61" s="250">
        <v>2021</v>
      </c>
      <c r="E61" s="230">
        <v>5015</v>
      </c>
      <c r="F61" s="230">
        <v>3655</v>
      </c>
      <c r="H61" s="302"/>
      <c r="I61" s="303"/>
      <c r="J61" s="304"/>
      <c r="K61" s="305"/>
    </row>
    <row r="62" spans="2:11" ht="15" customHeight="1" x14ac:dyDescent="0.2">
      <c r="D62" s="250">
        <v>2022</v>
      </c>
      <c r="E62" s="230">
        <v>4376</v>
      </c>
      <c r="F62" s="230">
        <v>2938</v>
      </c>
      <c r="H62" s="302"/>
      <c r="I62" s="303"/>
      <c r="J62" s="304"/>
      <c r="K62" s="305"/>
    </row>
    <row r="63" spans="2:11" ht="15" customHeight="1" x14ac:dyDescent="0.2">
      <c r="D63" s="250">
        <v>2023</v>
      </c>
      <c r="E63" s="230">
        <v>4728</v>
      </c>
      <c r="F63" s="230">
        <v>3068</v>
      </c>
      <c r="H63" s="302"/>
      <c r="I63" s="303"/>
      <c r="J63" s="304"/>
      <c r="K63" s="305"/>
    </row>
    <row r="64" spans="2:11" ht="15" customHeight="1" x14ac:dyDescent="0.2">
      <c r="D64" s="251">
        <v>2024</v>
      </c>
      <c r="E64" s="252">
        <v>5184</v>
      </c>
      <c r="F64" s="252">
        <v>3300</v>
      </c>
      <c r="H64" s="302"/>
      <c r="I64" s="303"/>
      <c r="J64" s="304"/>
      <c r="K64" s="305"/>
    </row>
    <row r="65" spans="4:11" ht="13.8" x14ac:dyDescent="0.2">
      <c r="D65" s="156"/>
      <c r="F65" s="4"/>
      <c r="H65" s="302"/>
      <c r="I65" s="303"/>
      <c r="J65" s="304"/>
      <c r="K65" s="305"/>
    </row>
    <row r="66" spans="4:11" x14ac:dyDescent="0.2">
      <c r="D66" s="309" t="s">
        <v>423</v>
      </c>
    </row>
    <row r="67" spans="4:11" x14ac:dyDescent="0.2">
      <c r="F67" s="140" t="s">
        <v>177</v>
      </c>
    </row>
  </sheetData>
  <mergeCells count="6">
    <mergeCell ref="I44:I45"/>
    <mergeCell ref="B3:F3"/>
    <mergeCell ref="D39:D40"/>
    <mergeCell ref="E39:E40"/>
    <mergeCell ref="F39:F40"/>
    <mergeCell ref="H44:H45"/>
  </mergeCells>
  <hyperlinks>
    <hyperlink ref="F67" location="Inhaltsverzeichnis!A1" display="› Zurück zum Inhaltsverzeichnis" xr:uid="{639AF6C4-2B99-45EF-BE6C-F14B31895275}"/>
  </hyperlinks>
  <pageMargins left="0.70866141732283472" right="0.70866141732283472" top="0.78740157480314965" bottom="0.78740157480314965" header="0.31496062992125984" footer="0.31496062992125984"/>
  <pageSetup paperSize="9"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EE40B-044A-4F13-A294-843A4CE4C021}">
  <dimension ref="A1:M42"/>
  <sheetViews>
    <sheetView zoomScaleNormal="100" workbookViewId="0">
      <pane ySplit="5" topLeftCell="A6" activePane="bottomLeft" state="frozen"/>
      <selection activeCell="L12" sqref="L12"/>
      <selection pane="bottomLeft" activeCell="B41" sqref="B41"/>
    </sheetView>
  </sheetViews>
  <sheetFormatPr baseColWidth="10" defaultColWidth="11.375" defaultRowHeight="11.4" x14ac:dyDescent="0.2"/>
  <cols>
    <col min="1" max="1" width="2.75" customWidth="1"/>
    <col min="2" max="2" width="12.625" customWidth="1"/>
    <col min="3" max="5" width="12.75" customWidth="1"/>
    <col min="6" max="6" width="12.375" customWidth="1"/>
    <col min="7" max="7" width="12.75" customWidth="1"/>
    <col min="8" max="8" width="12.375" customWidth="1"/>
    <col min="9" max="9" width="16.25" customWidth="1"/>
    <col min="10" max="10" width="15.75" customWidth="1"/>
    <col min="11" max="11" width="11.875" customWidth="1"/>
  </cols>
  <sheetData>
    <row r="1" spans="1:11" s="4" customFormat="1" ht="13.8" x14ac:dyDescent="0.2">
      <c r="C1" s="40"/>
      <c r="E1" s="41"/>
    </row>
    <row r="2" spans="1:11" s="203" customFormat="1" ht="20.100000000000001" customHeight="1" x14ac:dyDescent="0.25">
      <c r="A2" s="201"/>
      <c r="B2" s="202" t="s">
        <v>44</v>
      </c>
      <c r="C2" s="202"/>
      <c r="D2" s="202"/>
      <c r="E2" s="202"/>
      <c r="F2" s="202"/>
      <c r="G2" s="202"/>
    </row>
    <row r="3" spans="1:11" s="80" customFormat="1" ht="50.25" customHeight="1" x14ac:dyDescent="0.2">
      <c r="A3" s="65"/>
      <c r="B3" s="381" t="s">
        <v>427</v>
      </c>
      <c r="C3" s="381"/>
      <c r="D3" s="381"/>
      <c r="E3" s="381"/>
      <c r="F3" s="381"/>
      <c r="G3" s="381"/>
      <c r="H3" s="381"/>
      <c r="I3" s="381"/>
      <c r="J3" s="381"/>
      <c r="K3" s="381"/>
    </row>
    <row r="4" spans="1:11" ht="19.5" customHeight="1" x14ac:dyDescent="0.2">
      <c r="A4" s="204"/>
      <c r="B4" s="441" t="s">
        <v>0</v>
      </c>
      <c r="C4" s="384" t="s">
        <v>16</v>
      </c>
      <c r="D4" s="385" t="s">
        <v>428</v>
      </c>
      <c r="E4" s="385"/>
      <c r="F4" s="385"/>
      <c r="G4" s="385"/>
      <c r="H4" s="385"/>
      <c r="I4" s="385"/>
      <c r="J4" s="385"/>
      <c r="K4" s="386"/>
    </row>
    <row r="5" spans="1:11" ht="36.9" customHeight="1" x14ac:dyDescent="0.2">
      <c r="A5" s="204"/>
      <c r="B5" s="441"/>
      <c r="C5" s="384"/>
      <c r="D5" s="195" t="s">
        <v>232</v>
      </c>
      <c r="E5" s="195" t="s">
        <v>2</v>
      </c>
      <c r="F5" s="195" t="s">
        <v>429</v>
      </c>
      <c r="G5" s="195" t="s">
        <v>430</v>
      </c>
      <c r="H5" s="195" t="s">
        <v>243</v>
      </c>
      <c r="I5" s="195" t="s">
        <v>431</v>
      </c>
      <c r="J5" s="195" t="s">
        <v>432</v>
      </c>
      <c r="K5" s="310" t="s">
        <v>433</v>
      </c>
    </row>
    <row r="6" spans="1:11" ht="15" customHeight="1" x14ac:dyDescent="0.2">
      <c r="A6" s="204"/>
      <c r="B6" s="250">
        <v>2001</v>
      </c>
      <c r="C6" s="230">
        <v>1072</v>
      </c>
      <c r="D6" s="230">
        <v>109</v>
      </c>
      <c r="E6" s="230">
        <v>294</v>
      </c>
      <c r="F6" s="230">
        <v>70</v>
      </c>
      <c r="G6" s="230">
        <v>115</v>
      </c>
      <c r="H6" s="230">
        <v>81</v>
      </c>
      <c r="I6" s="230">
        <v>169</v>
      </c>
      <c r="J6" s="230">
        <v>37</v>
      </c>
      <c r="K6" s="230">
        <v>197</v>
      </c>
    </row>
    <row r="7" spans="1:11" ht="15" customHeight="1" x14ac:dyDescent="0.2">
      <c r="A7" s="204"/>
      <c r="B7" s="250">
        <v>2002</v>
      </c>
      <c r="C7" s="230">
        <v>1388</v>
      </c>
      <c r="D7" s="230">
        <v>119</v>
      </c>
      <c r="E7" s="230">
        <v>382</v>
      </c>
      <c r="F7" s="230">
        <v>84</v>
      </c>
      <c r="G7" s="230">
        <v>156</v>
      </c>
      <c r="H7" s="230">
        <v>105</v>
      </c>
      <c r="I7" s="230">
        <v>255</v>
      </c>
      <c r="J7" s="230">
        <v>64</v>
      </c>
      <c r="K7" s="230">
        <v>223</v>
      </c>
    </row>
    <row r="8" spans="1:11" ht="15" customHeight="1" x14ac:dyDescent="0.2">
      <c r="A8" s="204"/>
      <c r="B8" s="250">
        <v>2003</v>
      </c>
      <c r="C8" s="230">
        <v>1420</v>
      </c>
      <c r="D8" s="230">
        <v>131</v>
      </c>
      <c r="E8" s="230">
        <v>348</v>
      </c>
      <c r="F8" s="230">
        <v>75</v>
      </c>
      <c r="G8" s="230">
        <v>151</v>
      </c>
      <c r="H8" s="230">
        <v>125</v>
      </c>
      <c r="I8" s="230">
        <v>289</v>
      </c>
      <c r="J8" s="230">
        <v>55</v>
      </c>
      <c r="K8" s="230">
        <v>246</v>
      </c>
    </row>
    <row r="9" spans="1:11" ht="15" customHeight="1" x14ac:dyDescent="0.2">
      <c r="A9" s="204"/>
      <c r="B9" s="250">
        <v>2004</v>
      </c>
      <c r="C9" s="230">
        <v>1516</v>
      </c>
      <c r="D9" s="230">
        <v>124</v>
      </c>
      <c r="E9" s="230">
        <v>370</v>
      </c>
      <c r="F9" s="230">
        <v>73</v>
      </c>
      <c r="G9" s="230">
        <v>191</v>
      </c>
      <c r="H9" s="230">
        <v>127</v>
      </c>
      <c r="I9" s="230">
        <v>282</v>
      </c>
      <c r="J9" s="230">
        <v>99</v>
      </c>
      <c r="K9" s="230">
        <v>250</v>
      </c>
    </row>
    <row r="10" spans="1:11" ht="15" customHeight="1" x14ac:dyDescent="0.2">
      <c r="A10" s="204"/>
      <c r="B10" s="250">
        <v>2005</v>
      </c>
      <c r="C10" s="230">
        <v>1387</v>
      </c>
      <c r="D10" s="230">
        <v>91</v>
      </c>
      <c r="E10" s="230">
        <v>322</v>
      </c>
      <c r="F10" s="230">
        <v>46</v>
      </c>
      <c r="G10" s="230">
        <v>204</v>
      </c>
      <c r="H10" s="230">
        <v>125</v>
      </c>
      <c r="I10" s="230">
        <v>272</v>
      </c>
      <c r="J10" s="230">
        <v>84</v>
      </c>
      <c r="K10" s="230">
        <v>243</v>
      </c>
    </row>
    <row r="11" spans="1:11" ht="15" customHeight="1" x14ac:dyDescent="0.2">
      <c r="A11" s="204"/>
      <c r="B11" s="250"/>
      <c r="C11" s="230"/>
      <c r="D11" s="230"/>
      <c r="E11" s="230"/>
      <c r="F11" s="230"/>
      <c r="G11" s="230"/>
      <c r="H11" s="230"/>
      <c r="I11" s="230"/>
      <c r="J11" s="230"/>
      <c r="K11" s="230"/>
    </row>
    <row r="12" spans="1:11" ht="15" customHeight="1" x14ac:dyDescent="0.2">
      <c r="B12" s="250">
        <v>2006</v>
      </c>
      <c r="C12" s="230">
        <v>1317</v>
      </c>
      <c r="D12" s="230">
        <v>101</v>
      </c>
      <c r="E12" s="230">
        <v>267</v>
      </c>
      <c r="F12" s="230">
        <v>51</v>
      </c>
      <c r="G12" s="230">
        <v>174</v>
      </c>
      <c r="H12" s="230">
        <v>125</v>
      </c>
      <c r="I12" s="230">
        <v>274</v>
      </c>
      <c r="J12" s="230">
        <v>81</v>
      </c>
      <c r="K12" s="230">
        <v>244</v>
      </c>
    </row>
    <row r="13" spans="1:11" ht="15" customHeight="1" x14ac:dyDescent="0.2">
      <c r="B13" s="250">
        <v>2007</v>
      </c>
      <c r="C13" s="230">
        <v>1095</v>
      </c>
      <c r="D13" s="230">
        <v>50</v>
      </c>
      <c r="E13" s="230">
        <v>202</v>
      </c>
      <c r="F13" s="230">
        <v>58</v>
      </c>
      <c r="G13" s="230">
        <v>149</v>
      </c>
      <c r="H13" s="230">
        <v>127</v>
      </c>
      <c r="I13" s="230">
        <v>222</v>
      </c>
      <c r="J13" s="230">
        <v>70</v>
      </c>
      <c r="K13" s="230">
        <v>217</v>
      </c>
    </row>
    <row r="14" spans="1:11" ht="15" customHeight="1" x14ac:dyDescent="0.2">
      <c r="B14" s="250">
        <v>2008</v>
      </c>
      <c r="C14" s="230">
        <v>1114</v>
      </c>
      <c r="D14" s="230">
        <v>61</v>
      </c>
      <c r="E14" s="230">
        <v>228</v>
      </c>
      <c r="F14" s="230">
        <v>42</v>
      </c>
      <c r="G14" s="230">
        <v>121</v>
      </c>
      <c r="H14" s="230">
        <v>98</v>
      </c>
      <c r="I14" s="230">
        <v>222</v>
      </c>
      <c r="J14" s="230">
        <v>79</v>
      </c>
      <c r="K14" s="230">
        <v>263</v>
      </c>
    </row>
    <row r="15" spans="1:11" ht="15" customHeight="1" x14ac:dyDescent="0.2">
      <c r="B15" s="250">
        <v>2009</v>
      </c>
      <c r="C15" s="230">
        <v>1203</v>
      </c>
      <c r="D15" s="230">
        <v>77</v>
      </c>
      <c r="E15" s="230">
        <v>221</v>
      </c>
      <c r="F15" s="230">
        <v>56</v>
      </c>
      <c r="G15" s="230">
        <v>131</v>
      </c>
      <c r="H15" s="230">
        <v>123</v>
      </c>
      <c r="I15" s="230">
        <v>237</v>
      </c>
      <c r="J15" s="230">
        <v>75</v>
      </c>
      <c r="K15" s="230">
        <v>283</v>
      </c>
    </row>
    <row r="16" spans="1:11" ht="15" customHeight="1" x14ac:dyDescent="0.2">
      <c r="B16" s="250">
        <v>2010</v>
      </c>
      <c r="C16" s="230">
        <v>1233</v>
      </c>
      <c r="D16" s="230">
        <v>73</v>
      </c>
      <c r="E16" s="230">
        <v>213</v>
      </c>
      <c r="F16" s="230">
        <v>54</v>
      </c>
      <c r="G16" s="230">
        <v>157</v>
      </c>
      <c r="H16" s="230">
        <v>127</v>
      </c>
      <c r="I16" s="230">
        <v>246</v>
      </c>
      <c r="J16" s="230">
        <v>75</v>
      </c>
      <c r="K16" s="230">
        <v>288</v>
      </c>
    </row>
    <row r="17" spans="2:13" ht="15" customHeight="1" x14ac:dyDescent="0.2">
      <c r="B17" s="250"/>
      <c r="C17" s="230"/>
      <c r="D17" s="230"/>
      <c r="E17" s="230"/>
      <c r="F17" s="230"/>
      <c r="G17" s="230"/>
      <c r="H17" s="230"/>
      <c r="I17" s="230"/>
      <c r="J17" s="230"/>
      <c r="K17" s="230"/>
    </row>
    <row r="18" spans="2:13" ht="15" customHeight="1" x14ac:dyDescent="0.2">
      <c r="B18" s="250">
        <v>2011</v>
      </c>
      <c r="C18" s="230">
        <v>1104</v>
      </c>
      <c r="D18" s="230">
        <v>67</v>
      </c>
      <c r="E18" s="230">
        <v>208</v>
      </c>
      <c r="F18" s="230">
        <v>40</v>
      </c>
      <c r="G18" s="230">
        <v>140</v>
      </c>
      <c r="H18" s="230">
        <v>92</v>
      </c>
      <c r="I18" s="230">
        <v>248</v>
      </c>
      <c r="J18" s="230">
        <v>60</v>
      </c>
      <c r="K18" s="230">
        <v>249</v>
      </c>
    </row>
    <row r="19" spans="2:13" ht="15" customHeight="1" x14ac:dyDescent="0.2">
      <c r="B19" s="250">
        <v>2012</v>
      </c>
      <c r="C19" s="230">
        <v>1143</v>
      </c>
      <c r="D19" s="230">
        <v>62</v>
      </c>
      <c r="E19" s="230">
        <v>190</v>
      </c>
      <c r="F19" s="230">
        <v>36</v>
      </c>
      <c r="G19" s="230">
        <v>129</v>
      </c>
      <c r="H19" s="230">
        <v>103</v>
      </c>
      <c r="I19" s="230">
        <v>304</v>
      </c>
      <c r="J19" s="230">
        <v>62</v>
      </c>
      <c r="K19" s="230">
        <v>257</v>
      </c>
    </row>
    <row r="20" spans="2:13" ht="15" customHeight="1" x14ac:dyDescent="0.2">
      <c r="B20" s="250">
        <v>2013</v>
      </c>
      <c r="C20" s="230">
        <v>1026</v>
      </c>
      <c r="D20" s="230">
        <v>65</v>
      </c>
      <c r="E20" s="230">
        <v>182</v>
      </c>
      <c r="F20" s="230">
        <v>36</v>
      </c>
      <c r="G20" s="230">
        <v>108</v>
      </c>
      <c r="H20" s="230">
        <v>83</v>
      </c>
      <c r="I20" s="230">
        <v>228</v>
      </c>
      <c r="J20" s="230">
        <v>69</v>
      </c>
      <c r="K20" s="230">
        <v>255</v>
      </c>
    </row>
    <row r="21" spans="2:13" ht="15" customHeight="1" x14ac:dyDescent="0.2">
      <c r="B21" s="250">
        <v>2014</v>
      </c>
      <c r="C21" s="230">
        <v>987</v>
      </c>
      <c r="D21" s="230">
        <v>59</v>
      </c>
      <c r="E21" s="230">
        <v>148</v>
      </c>
      <c r="F21" s="230">
        <v>32</v>
      </c>
      <c r="G21" s="230">
        <v>82</v>
      </c>
      <c r="H21" s="230">
        <v>97</v>
      </c>
      <c r="I21" s="230">
        <v>227</v>
      </c>
      <c r="J21" s="230">
        <v>56</v>
      </c>
      <c r="K21" s="230">
        <v>286</v>
      </c>
    </row>
    <row r="22" spans="2:13" ht="15" customHeight="1" x14ac:dyDescent="0.2">
      <c r="B22" s="250">
        <v>2015</v>
      </c>
      <c r="C22" s="230">
        <v>1027</v>
      </c>
      <c r="D22" s="230">
        <v>55</v>
      </c>
      <c r="E22" s="230">
        <v>161</v>
      </c>
      <c r="F22" s="230">
        <v>36</v>
      </c>
      <c r="G22" s="230">
        <v>93</v>
      </c>
      <c r="H22" s="230">
        <v>111</v>
      </c>
      <c r="I22" s="230">
        <v>264</v>
      </c>
      <c r="J22" s="230">
        <v>57</v>
      </c>
      <c r="K22" s="230">
        <v>250</v>
      </c>
    </row>
    <row r="23" spans="2:13" ht="15" customHeight="1" x14ac:dyDescent="0.2">
      <c r="B23" s="250"/>
      <c r="C23" s="230"/>
      <c r="D23" s="230"/>
      <c r="E23" s="230"/>
      <c r="F23" s="230"/>
      <c r="G23" s="230"/>
      <c r="H23" s="230"/>
      <c r="I23" s="230"/>
      <c r="J23" s="230"/>
      <c r="K23" s="230"/>
    </row>
    <row r="24" spans="2:13" ht="15" customHeight="1" x14ac:dyDescent="0.2">
      <c r="B24" s="250">
        <v>2016</v>
      </c>
      <c r="C24" s="230">
        <v>956</v>
      </c>
      <c r="D24" s="230">
        <v>53</v>
      </c>
      <c r="E24" s="230">
        <v>161</v>
      </c>
      <c r="F24" s="230">
        <v>39</v>
      </c>
      <c r="G24" s="230">
        <v>96</v>
      </c>
      <c r="H24" s="230">
        <v>99</v>
      </c>
      <c r="I24" s="230">
        <v>237</v>
      </c>
      <c r="J24" s="230">
        <v>55</v>
      </c>
      <c r="K24" s="230">
        <v>216</v>
      </c>
    </row>
    <row r="25" spans="2:13" ht="15" customHeight="1" x14ac:dyDescent="0.2">
      <c r="B25" s="250">
        <v>2017</v>
      </c>
      <c r="C25" s="230">
        <v>888</v>
      </c>
      <c r="D25" s="230">
        <v>35</v>
      </c>
      <c r="E25" s="230">
        <v>173</v>
      </c>
      <c r="F25" s="230">
        <v>43</v>
      </c>
      <c r="G25" s="230">
        <v>78</v>
      </c>
      <c r="H25" s="230">
        <v>75</v>
      </c>
      <c r="I25" s="230">
        <v>199</v>
      </c>
      <c r="J25" s="230">
        <v>55</v>
      </c>
      <c r="K25" s="230">
        <v>230</v>
      </c>
    </row>
    <row r="26" spans="2:13" ht="15" customHeight="1" x14ac:dyDescent="0.2">
      <c r="B26" s="250">
        <v>2018</v>
      </c>
      <c r="C26" s="230">
        <v>768</v>
      </c>
      <c r="D26" s="230">
        <v>50</v>
      </c>
      <c r="E26" s="230">
        <v>141</v>
      </c>
      <c r="F26" s="230">
        <v>40</v>
      </c>
      <c r="G26" s="230">
        <v>65</v>
      </c>
      <c r="H26" s="230">
        <v>79</v>
      </c>
      <c r="I26" s="230">
        <v>165</v>
      </c>
      <c r="J26" s="230">
        <v>46</v>
      </c>
      <c r="K26" s="230">
        <v>182</v>
      </c>
    </row>
    <row r="27" spans="2:13" ht="15" customHeight="1" x14ac:dyDescent="0.2">
      <c r="B27" s="250">
        <v>2019</v>
      </c>
      <c r="C27" s="230">
        <v>787</v>
      </c>
      <c r="D27" s="230">
        <v>43</v>
      </c>
      <c r="E27" s="230">
        <v>131</v>
      </c>
      <c r="F27" s="230">
        <v>36</v>
      </c>
      <c r="G27" s="230">
        <v>70</v>
      </c>
      <c r="H27" s="230">
        <v>82</v>
      </c>
      <c r="I27" s="230">
        <v>205</v>
      </c>
      <c r="J27" s="230">
        <v>46</v>
      </c>
      <c r="K27" s="230">
        <v>174</v>
      </c>
    </row>
    <row r="28" spans="2:13" ht="15" customHeight="1" x14ac:dyDescent="0.2">
      <c r="B28" s="250">
        <v>2020</v>
      </c>
      <c r="C28" s="230">
        <v>534</v>
      </c>
      <c r="D28" s="230">
        <v>48</v>
      </c>
      <c r="E28" s="230">
        <v>99</v>
      </c>
      <c r="F28" s="230">
        <v>16</v>
      </c>
      <c r="G28" s="230">
        <v>42</v>
      </c>
      <c r="H28" s="230">
        <v>59</v>
      </c>
      <c r="I28" s="230">
        <v>137</v>
      </c>
      <c r="J28" s="230">
        <v>26</v>
      </c>
      <c r="K28" s="230">
        <v>107</v>
      </c>
    </row>
    <row r="29" spans="2:13" ht="15" customHeight="1" x14ac:dyDescent="0.2">
      <c r="B29" s="250"/>
      <c r="C29" s="230"/>
      <c r="D29" s="230"/>
      <c r="E29" s="230"/>
      <c r="F29" s="230"/>
      <c r="G29" s="230"/>
      <c r="H29" s="230"/>
      <c r="I29" s="230"/>
      <c r="J29" s="230"/>
      <c r="K29" s="230"/>
    </row>
    <row r="30" spans="2:13" ht="15" customHeight="1" x14ac:dyDescent="0.2">
      <c r="B30" s="250">
        <v>2021</v>
      </c>
      <c r="C30" s="230">
        <v>446</v>
      </c>
      <c r="D30" s="230">
        <v>23</v>
      </c>
      <c r="E30" s="230">
        <v>90</v>
      </c>
      <c r="F30" s="230">
        <v>20</v>
      </c>
      <c r="G30" s="230">
        <v>30</v>
      </c>
      <c r="H30" s="230">
        <v>28</v>
      </c>
      <c r="I30" s="230">
        <v>123</v>
      </c>
      <c r="J30" s="230">
        <v>41</v>
      </c>
      <c r="K30" s="230">
        <v>91</v>
      </c>
    </row>
    <row r="31" spans="2:13" ht="15" customHeight="1" x14ac:dyDescent="0.2">
      <c r="B31" s="250">
        <v>2022</v>
      </c>
      <c r="C31" s="230">
        <v>520</v>
      </c>
      <c r="D31" s="230">
        <v>34</v>
      </c>
      <c r="E31" s="230">
        <v>106</v>
      </c>
      <c r="F31" s="230">
        <v>27</v>
      </c>
      <c r="G31" s="230">
        <v>38</v>
      </c>
      <c r="H31" s="230">
        <v>34</v>
      </c>
      <c r="I31" s="230">
        <v>134</v>
      </c>
      <c r="J31" s="230">
        <v>37</v>
      </c>
      <c r="K31" s="230">
        <v>110</v>
      </c>
    </row>
    <row r="32" spans="2:13" ht="15" customHeight="1" x14ac:dyDescent="0.2">
      <c r="B32" s="250">
        <v>2023</v>
      </c>
      <c r="C32" s="230">
        <v>685</v>
      </c>
      <c r="D32" s="230">
        <v>63</v>
      </c>
      <c r="E32" s="230">
        <v>102</v>
      </c>
      <c r="F32" s="230">
        <v>35</v>
      </c>
      <c r="G32" s="230">
        <v>58</v>
      </c>
      <c r="H32" s="230">
        <v>58</v>
      </c>
      <c r="I32" s="230">
        <v>169</v>
      </c>
      <c r="J32" s="230">
        <v>43</v>
      </c>
      <c r="K32" s="230">
        <v>157</v>
      </c>
      <c r="M32" s="311"/>
    </row>
    <row r="33" spans="2:13" ht="15" customHeight="1" x14ac:dyDescent="0.2">
      <c r="B33" s="251">
        <v>2024</v>
      </c>
      <c r="C33" s="252">
        <v>833</v>
      </c>
      <c r="D33" s="252">
        <v>40</v>
      </c>
      <c r="E33" s="252">
        <v>126</v>
      </c>
      <c r="F33" s="252">
        <v>33</v>
      </c>
      <c r="G33" s="252">
        <v>70</v>
      </c>
      <c r="H33" s="252">
        <v>69</v>
      </c>
      <c r="I33" s="252">
        <v>283</v>
      </c>
      <c r="J33" s="252">
        <v>52</v>
      </c>
      <c r="K33" s="252">
        <v>160</v>
      </c>
      <c r="L33" s="312"/>
      <c r="M33" s="311"/>
    </row>
    <row r="34" spans="2:13" x14ac:dyDescent="0.2">
      <c r="B34" s="313"/>
      <c r="C34" s="311"/>
      <c r="D34" s="311"/>
      <c r="E34" s="314"/>
      <c r="F34" s="315"/>
      <c r="G34" s="311"/>
      <c r="H34" s="311"/>
      <c r="I34" s="315"/>
      <c r="J34" s="315"/>
      <c r="K34" s="315"/>
      <c r="M34" s="311"/>
    </row>
    <row r="35" spans="2:13" x14ac:dyDescent="0.2">
      <c r="B35" s="440" t="s">
        <v>422</v>
      </c>
      <c r="C35" s="440"/>
      <c r="D35" s="440"/>
      <c r="E35" s="440"/>
      <c r="F35" s="440"/>
      <c r="G35" s="440"/>
      <c r="H35" s="440"/>
      <c r="I35" s="440"/>
      <c r="J35" s="440"/>
      <c r="K35" s="440"/>
    </row>
    <row r="36" spans="2:13" x14ac:dyDescent="0.2">
      <c r="B36" s="440" t="s">
        <v>434</v>
      </c>
      <c r="C36" s="440"/>
      <c r="D36" s="440"/>
      <c r="E36" s="440"/>
      <c r="F36" s="440"/>
      <c r="G36" s="440"/>
      <c r="H36" s="440"/>
      <c r="I36" s="440"/>
      <c r="J36" s="440"/>
      <c r="K36" s="440"/>
    </row>
    <row r="37" spans="2:13" x14ac:dyDescent="0.2">
      <c r="B37" s="440" t="s">
        <v>435</v>
      </c>
      <c r="C37" s="440"/>
      <c r="D37" s="440"/>
      <c r="E37" s="440"/>
      <c r="F37" s="440"/>
      <c r="G37" s="440"/>
      <c r="H37" s="440"/>
      <c r="I37" s="440"/>
      <c r="J37" s="440"/>
      <c r="K37" s="440"/>
    </row>
    <row r="38" spans="2:13" x14ac:dyDescent="0.2">
      <c r="B38" s="419" t="s">
        <v>436</v>
      </c>
      <c r="C38" s="419"/>
      <c r="D38" s="419"/>
      <c r="E38" s="419"/>
      <c r="F38" s="419"/>
      <c r="G38" s="419"/>
      <c r="H38" s="419"/>
      <c r="I38" s="419"/>
      <c r="J38" s="419"/>
      <c r="K38" s="419"/>
    </row>
    <row r="40" spans="2:13" x14ac:dyDescent="0.2">
      <c r="B40" s="433"/>
      <c r="C40" s="433"/>
      <c r="D40" s="433"/>
      <c r="E40" s="433"/>
      <c r="F40" s="433"/>
      <c r="G40" s="433"/>
      <c r="H40" s="433"/>
      <c r="I40" s="433"/>
      <c r="J40" s="433"/>
      <c r="K40" s="433"/>
    </row>
    <row r="42" spans="2:13" x14ac:dyDescent="0.2">
      <c r="K42" s="107" t="s">
        <v>177</v>
      </c>
    </row>
  </sheetData>
  <mergeCells count="9">
    <mergeCell ref="B37:K37"/>
    <mergeCell ref="B38:K38"/>
    <mergeCell ref="B40:K40"/>
    <mergeCell ref="B3:K3"/>
    <mergeCell ref="B4:B5"/>
    <mergeCell ref="C4:C5"/>
    <mergeCell ref="D4:K4"/>
    <mergeCell ref="B35:K35"/>
    <mergeCell ref="B36:K36"/>
  </mergeCells>
  <hyperlinks>
    <hyperlink ref="K42" location="Inhaltsverzeichnis!A1" display="› Zurück zum Inhaltsverzeichnis" xr:uid="{270DC14D-56EB-4060-B05D-CCC76D681B92}"/>
  </hyperlinks>
  <pageMargins left="0.7" right="0.7" top="0.78740157499999996" bottom="0.78740157499999996"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20A24-30B2-4673-93BF-121A77CE1068}">
  <dimension ref="A1:I37"/>
  <sheetViews>
    <sheetView zoomScaleNormal="100" workbookViewId="0">
      <pane ySplit="6" topLeftCell="A13" activePane="bottomLeft" state="frozen"/>
      <selection activeCell="L12" sqref="L12"/>
      <selection pane="bottomLeft" activeCell="B31" sqref="B31"/>
    </sheetView>
  </sheetViews>
  <sheetFormatPr baseColWidth="10" defaultColWidth="11.375" defaultRowHeight="11.4" x14ac:dyDescent="0.2"/>
  <cols>
    <col min="1" max="1" width="2.75" customWidth="1"/>
    <col min="2" max="2" width="46" customWidth="1"/>
    <col min="3" max="9" width="16.125" customWidth="1"/>
  </cols>
  <sheetData>
    <row r="1" spans="1:9" s="4" customFormat="1" ht="13.8" x14ac:dyDescent="0.2">
      <c r="C1" s="40"/>
      <c r="E1" s="41"/>
    </row>
    <row r="2" spans="1:9" s="203" customFormat="1" ht="20.100000000000001" customHeight="1" x14ac:dyDescent="0.25">
      <c r="A2" s="201"/>
      <c r="B2" s="202" t="s">
        <v>44</v>
      </c>
      <c r="C2" s="202"/>
      <c r="D2" s="202"/>
      <c r="E2" s="202"/>
      <c r="F2" s="202"/>
      <c r="G2" s="202"/>
    </row>
    <row r="3" spans="1:9" s="80" customFormat="1" ht="50.25" customHeight="1" x14ac:dyDescent="0.2">
      <c r="A3" s="65"/>
      <c r="B3" s="381" t="s">
        <v>437</v>
      </c>
      <c r="C3" s="381"/>
      <c r="D3" s="381"/>
      <c r="E3" s="381"/>
      <c r="F3" s="381"/>
      <c r="G3" s="381"/>
      <c r="H3" s="381"/>
      <c r="I3" s="381"/>
    </row>
    <row r="4" spans="1:9" ht="20.100000000000001" customHeight="1" x14ac:dyDescent="0.2">
      <c r="A4" s="204"/>
      <c r="B4" s="422" t="s">
        <v>393</v>
      </c>
      <c r="C4" s="410" t="s">
        <v>438</v>
      </c>
      <c r="D4" s="410" t="s">
        <v>439</v>
      </c>
      <c r="E4" s="427" t="s">
        <v>440</v>
      </c>
      <c r="F4" s="427"/>
      <c r="G4" s="427"/>
      <c r="H4" s="410" t="s">
        <v>426</v>
      </c>
      <c r="I4" s="397" t="s">
        <v>441</v>
      </c>
    </row>
    <row r="5" spans="1:9" ht="20.100000000000001" customHeight="1" x14ac:dyDescent="0.2">
      <c r="A5" s="204"/>
      <c r="B5" s="422"/>
      <c r="C5" s="410"/>
      <c r="D5" s="410"/>
      <c r="E5" s="410" t="s">
        <v>14</v>
      </c>
      <c r="F5" s="410" t="s">
        <v>36</v>
      </c>
      <c r="G5" s="410"/>
      <c r="H5" s="410"/>
      <c r="I5" s="397"/>
    </row>
    <row r="6" spans="1:9" ht="39.9" customHeight="1" x14ac:dyDescent="0.2">
      <c r="A6" s="204"/>
      <c r="B6" s="422"/>
      <c r="C6" s="410"/>
      <c r="D6" s="410"/>
      <c r="E6" s="410"/>
      <c r="F6" s="200" t="s">
        <v>442</v>
      </c>
      <c r="G6" s="200" t="s">
        <v>443</v>
      </c>
      <c r="H6" s="410"/>
      <c r="I6" s="397"/>
    </row>
    <row r="7" spans="1:9" ht="15" customHeight="1" x14ac:dyDescent="0.2">
      <c r="A7" s="204"/>
      <c r="B7" s="316" t="s">
        <v>444</v>
      </c>
      <c r="C7" s="317">
        <v>4351</v>
      </c>
      <c r="D7" s="317">
        <v>14</v>
      </c>
      <c r="E7" s="317">
        <v>958</v>
      </c>
      <c r="F7" s="317">
        <v>563</v>
      </c>
      <c r="G7" s="317">
        <v>395</v>
      </c>
      <c r="H7" s="317">
        <v>3300</v>
      </c>
      <c r="I7" s="317">
        <v>79</v>
      </c>
    </row>
    <row r="8" spans="1:9" ht="15" customHeight="1" x14ac:dyDescent="0.2">
      <c r="A8" s="204"/>
      <c r="B8" s="318" t="s">
        <v>445</v>
      </c>
      <c r="C8" s="246"/>
      <c r="D8" s="246"/>
      <c r="E8" s="246"/>
      <c r="F8" s="246"/>
      <c r="G8" s="246"/>
      <c r="H8" s="246"/>
      <c r="I8" s="246"/>
    </row>
    <row r="9" spans="1:9" ht="15" customHeight="1" x14ac:dyDescent="0.2">
      <c r="A9" s="204"/>
      <c r="B9" s="318" t="s">
        <v>446</v>
      </c>
      <c r="C9" s="246">
        <v>4</v>
      </c>
      <c r="D9" s="246" t="s">
        <v>35</v>
      </c>
      <c r="E9" s="246">
        <v>2</v>
      </c>
      <c r="F9" s="246">
        <v>1</v>
      </c>
      <c r="G9" s="246">
        <v>1</v>
      </c>
      <c r="H9" s="246">
        <v>2</v>
      </c>
      <c r="I9" s="246" t="s">
        <v>35</v>
      </c>
    </row>
    <row r="10" spans="1:9" ht="15" customHeight="1" x14ac:dyDescent="0.2">
      <c r="A10" s="204"/>
      <c r="B10" s="250"/>
      <c r="C10" s="246"/>
      <c r="D10" s="246"/>
      <c r="E10" s="246"/>
      <c r="F10" s="246"/>
      <c r="G10" s="246"/>
      <c r="H10" s="246"/>
      <c r="I10" s="246"/>
    </row>
    <row r="11" spans="1:9" ht="15" customHeight="1" x14ac:dyDescent="0.2">
      <c r="A11" s="204"/>
      <c r="B11" s="319" t="s">
        <v>447</v>
      </c>
      <c r="C11" s="317">
        <v>1223</v>
      </c>
      <c r="D11" s="317">
        <v>1</v>
      </c>
      <c r="E11" s="317">
        <v>253</v>
      </c>
      <c r="F11" s="317">
        <v>143</v>
      </c>
      <c r="G11" s="317">
        <v>110</v>
      </c>
      <c r="H11" s="317">
        <v>955</v>
      </c>
      <c r="I11" s="317">
        <v>14</v>
      </c>
    </row>
    <row r="12" spans="1:9" ht="15" customHeight="1" x14ac:dyDescent="0.2">
      <c r="A12" s="204"/>
      <c r="B12" s="250" t="s">
        <v>397</v>
      </c>
      <c r="C12" s="246">
        <v>265</v>
      </c>
      <c r="D12" s="246" t="s">
        <v>35</v>
      </c>
      <c r="E12" s="246">
        <v>53</v>
      </c>
      <c r="F12" s="246">
        <v>27</v>
      </c>
      <c r="G12" s="246">
        <v>26</v>
      </c>
      <c r="H12" s="246">
        <v>209</v>
      </c>
      <c r="I12" s="246">
        <v>3</v>
      </c>
    </row>
    <row r="13" spans="1:9" ht="15" customHeight="1" x14ac:dyDescent="0.2">
      <c r="B13" s="250" t="s">
        <v>398</v>
      </c>
      <c r="C13" s="246">
        <v>361</v>
      </c>
      <c r="D13" s="246" t="s">
        <v>35</v>
      </c>
      <c r="E13" s="246">
        <v>48</v>
      </c>
      <c r="F13" s="246">
        <v>33</v>
      </c>
      <c r="G13" s="246">
        <v>15</v>
      </c>
      <c r="H13" s="246">
        <v>309</v>
      </c>
      <c r="I13" s="246">
        <v>4</v>
      </c>
    </row>
    <row r="14" spans="1:9" ht="15" customHeight="1" x14ac:dyDescent="0.2">
      <c r="B14" s="250" t="s">
        <v>399</v>
      </c>
      <c r="C14" s="246">
        <v>403</v>
      </c>
      <c r="D14" s="246" t="s">
        <v>35</v>
      </c>
      <c r="E14" s="246">
        <v>130</v>
      </c>
      <c r="F14" s="246">
        <v>66</v>
      </c>
      <c r="G14" s="246">
        <v>64</v>
      </c>
      <c r="H14" s="246">
        <v>266</v>
      </c>
      <c r="I14" s="246">
        <v>7</v>
      </c>
    </row>
    <row r="15" spans="1:9" ht="15" customHeight="1" x14ac:dyDescent="0.2">
      <c r="B15" s="250" t="s">
        <v>400</v>
      </c>
      <c r="C15" s="246">
        <v>194</v>
      </c>
      <c r="D15" s="246">
        <v>1</v>
      </c>
      <c r="E15" s="246">
        <v>22</v>
      </c>
      <c r="F15" s="246">
        <v>17</v>
      </c>
      <c r="G15" s="246">
        <v>5</v>
      </c>
      <c r="H15" s="246">
        <v>171</v>
      </c>
      <c r="I15" s="246" t="s">
        <v>35</v>
      </c>
    </row>
    <row r="16" spans="1:9" ht="15" customHeight="1" x14ac:dyDescent="0.2">
      <c r="B16" s="250"/>
      <c r="C16" s="246"/>
      <c r="D16" s="246"/>
      <c r="E16" s="246"/>
      <c r="F16" s="246"/>
      <c r="G16" s="246"/>
      <c r="H16" s="246"/>
      <c r="I16" s="246"/>
    </row>
    <row r="17" spans="2:9" ht="15" customHeight="1" x14ac:dyDescent="0.2">
      <c r="B17" s="319" t="s">
        <v>448</v>
      </c>
      <c r="C17" s="317">
        <v>3124</v>
      </c>
      <c r="D17" s="317">
        <v>13</v>
      </c>
      <c r="E17" s="317">
        <v>703</v>
      </c>
      <c r="F17" s="317">
        <v>419</v>
      </c>
      <c r="G17" s="317">
        <v>284</v>
      </c>
      <c r="H17" s="317">
        <v>2343</v>
      </c>
      <c r="I17" s="317">
        <v>65</v>
      </c>
    </row>
    <row r="18" spans="2:9" ht="15" customHeight="1" x14ac:dyDescent="0.2">
      <c r="B18" s="250" t="s">
        <v>401</v>
      </c>
      <c r="C18" s="246">
        <v>249</v>
      </c>
      <c r="D18" s="246">
        <v>1</v>
      </c>
      <c r="E18" s="246">
        <v>24</v>
      </c>
      <c r="F18" s="246">
        <v>23</v>
      </c>
      <c r="G18" s="246">
        <v>1</v>
      </c>
      <c r="H18" s="246">
        <v>208</v>
      </c>
      <c r="I18" s="246">
        <v>16</v>
      </c>
    </row>
    <row r="19" spans="2:9" ht="15" customHeight="1" x14ac:dyDescent="0.2">
      <c r="B19" s="250" t="s">
        <v>402</v>
      </c>
      <c r="C19" s="246">
        <v>231</v>
      </c>
      <c r="D19" s="246" t="s">
        <v>35</v>
      </c>
      <c r="E19" s="246">
        <v>57</v>
      </c>
      <c r="F19" s="246">
        <v>30</v>
      </c>
      <c r="G19" s="246">
        <v>27</v>
      </c>
      <c r="H19" s="246">
        <v>165</v>
      </c>
      <c r="I19" s="246">
        <v>9</v>
      </c>
    </row>
    <row r="20" spans="2:9" ht="15" customHeight="1" x14ac:dyDescent="0.2">
      <c r="B20" s="250" t="s">
        <v>403</v>
      </c>
      <c r="C20" s="246">
        <v>321</v>
      </c>
      <c r="D20" s="246">
        <v>5</v>
      </c>
      <c r="E20" s="246">
        <v>79</v>
      </c>
      <c r="F20" s="246">
        <v>50</v>
      </c>
      <c r="G20" s="246">
        <v>29</v>
      </c>
      <c r="H20" s="246">
        <v>235</v>
      </c>
      <c r="I20" s="246">
        <v>2</v>
      </c>
    </row>
    <row r="21" spans="2:9" ht="15" customHeight="1" x14ac:dyDescent="0.2">
      <c r="B21" s="250" t="s">
        <v>404</v>
      </c>
      <c r="C21" s="246">
        <v>281</v>
      </c>
      <c r="D21" s="246" t="s">
        <v>35</v>
      </c>
      <c r="E21" s="246">
        <v>78</v>
      </c>
      <c r="F21" s="246">
        <v>43</v>
      </c>
      <c r="G21" s="246">
        <v>35</v>
      </c>
      <c r="H21" s="246">
        <v>198</v>
      </c>
      <c r="I21" s="246">
        <v>5</v>
      </c>
    </row>
    <row r="22" spans="2:9" ht="15" customHeight="1" x14ac:dyDescent="0.2">
      <c r="B22" s="250" t="s">
        <v>405</v>
      </c>
      <c r="C22" s="246">
        <v>446</v>
      </c>
      <c r="D22" s="246">
        <v>2</v>
      </c>
      <c r="E22" s="246">
        <v>107</v>
      </c>
      <c r="F22" s="246">
        <v>51</v>
      </c>
      <c r="G22" s="246">
        <v>56</v>
      </c>
      <c r="H22" s="246">
        <v>328</v>
      </c>
      <c r="I22" s="246">
        <v>9</v>
      </c>
    </row>
    <row r="23" spans="2:9" ht="15" customHeight="1" x14ac:dyDescent="0.2">
      <c r="B23" s="250" t="s">
        <v>406</v>
      </c>
      <c r="C23" s="246">
        <v>210</v>
      </c>
      <c r="D23" s="246" t="s">
        <v>35</v>
      </c>
      <c r="E23" s="246">
        <v>33</v>
      </c>
      <c r="F23" s="246">
        <v>27</v>
      </c>
      <c r="G23" s="246">
        <v>6</v>
      </c>
      <c r="H23" s="246">
        <v>174</v>
      </c>
      <c r="I23" s="246">
        <v>3</v>
      </c>
    </row>
    <row r="24" spans="2:9" ht="15" customHeight="1" x14ac:dyDescent="0.2">
      <c r="B24" s="250" t="s">
        <v>407</v>
      </c>
      <c r="C24" s="246">
        <v>416</v>
      </c>
      <c r="D24" s="246">
        <v>3</v>
      </c>
      <c r="E24" s="246">
        <v>65</v>
      </c>
      <c r="F24" s="246">
        <v>38</v>
      </c>
      <c r="G24" s="246">
        <v>27</v>
      </c>
      <c r="H24" s="246">
        <v>342</v>
      </c>
      <c r="I24" s="246">
        <v>6</v>
      </c>
    </row>
    <row r="25" spans="2:9" ht="15" customHeight="1" x14ac:dyDescent="0.2">
      <c r="B25" s="250" t="s">
        <v>408</v>
      </c>
      <c r="C25" s="246">
        <v>335</v>
      </c>
      <c r="D25" s="246" t="s">
        <v>35</v>
      </c>
      <c r="E25" s="246">
        <v>81</v>
      </c>
      <c r="F25" s="246">
        <v>51</v>
      </c>
      <c r="G25" s="246">
        <v>30</v>
      </c>
      <c r="H25" s="246">
        <v>252</v>
      </c>
      <c r="I25" s="246">
        <v>2</v>
      </c>
    </row>
    <row r="26" spans="2:9" ht="15" customHeight="1" x14ac:dyDescent="0.2">
      <c r="B26" s="250" t="s">
        <v>409</v>
      </c>
      <c r="C26" s="246">
        <v>275</v>
      </c>
      <c r="D26" s="246">
        <v>1</v>
      </c>
      <c r="E26" s="246">
        <v>74</v>
      </c>
      <c r="F26" s="246">
        <v>38</v>
      </c>
      <c r="G26" s="246">
        <v>36</v>
      </c>
      <c r="H26" s="246">
        <v>196</v>
      </c>
      <c r="I26" s="246">
        <v>4</v>
      </c>
    </row>
    <row r="27" spans="2:9" ht="15" customHeight="1" x14ac:dyDescent="0.2">
      <c r="B27" s="250" t="s">
        <v>410</v>
      </c>
      <c r="C27" s="246">
        <v>143</v>
      </c>
      <c r="D27" s="246" t="s">
        <v>35</v>
      </c>
      <c r="E27" s="246">
        <v>15</v>
      </c>
      <c r="F27" s="246">
        <v>15</v>
      </c>
      <c r="G27" s="246" t="s">
        <v>35</v>
      </c>
      <c r="H27" s="246">
        <v>124</v>
      </c>
      <c r="I27" s="246">
        <v>4</v>
      </c>
    </row>
    <row r="28" spans="2:9" ht="15" customHeight="1" x14ac:dyDescent="0.2">
      <c r="B28" s="251" t="s">
        <v>411</v>
      </c>
      <c r="C28" s="252">
        <v>217</v>
      </c>
      <c r="D28" s="252">
        <v>1</v>
      </c>
      <c r="E28" s="252">
        <v>90</v>
      </c>
      <c r="F28" s="252">
        <v>53</v>
      </c>
      <c r="G28" s="252">
        <v>37</v>
      </c>
      <c r="H28" s="252">
        <v>121</v>
      </c>
      <c r="I28" s="252">
        <v>5</v>
      </c>
    </row>
    <row r="30" spans="2:9" x14ac:dyDescent="0.2">
      <c r="B30" s="442"/>
      <c r="C30" s="442"/>
      <c r="D30" s="442"/>
      <c r="E30" s="442"/>
      <c r="F30" s="442"/>
      <c r="G30" s="442"/>
      <c r="H30" s="442"/>
      <c r="I30" s="442"/>
    </row>
    <row r="32" spans="2:9" x14ac:dyDescent="0.2">
      <c r="C32" s="320"/>
      <c r="I32" s="116" t="s">
        <v>178</v>
      </c>
    </row>
    <row r="37" spans="3:9" x14ac:dyDescent="0.2">
      <c r="C37" s="320"/>
      <c r="D37" s="320"/>
      <c r="E37" s="320"/>
      <c r="F37" s="320"/>
      <c r="G37" s="320"/>
      <c r="H37" s="320"/>
      <c r="I37" s="320"/>
    </row>
  </sheetData>
  <mergeCells count="10">
    <mergeCell ref="B30:I30"/>
    <mergeCell ref="B3:I3"/>
    <mergeCell ref="B4:B6"/>
    <mergeCell ref="C4:C6"/>
    <mergeCell ref="D4:D6"/>
    <mergeCell ref="E4:G4"/>
    <mergeCell ref="H4:H6"/>
    <mergeCell ref="I4:I6"/>
    <mergeCell ref="E5:E6"/>
    <mergeCell ref="F5:G5"/>
  </mergeCells>
  <hyperlinks>
    <hyperlink ref="I32" location="Inhaltsverzeichnis!A1" display="› Zurück zum Inhaltsverzeichnis" xr:uid="{D1F23683-1F08-4D04-94C0-15C9D1766585}"/>
  </hyperlinks>
  <pageMargins left="0.7" right="0.7" top="0.78740157499999996" bottom="0.78740157499999996"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9ACDF-7828-4AB1-87AB-58D819106B33}">
  <dimension ref="A1:M59"/>
  <sheetViews>
    <sheetView zoomScaleNormal="100" workbookViewId="0">
      <pane ySplit="6" topLeftCell="A7" activePane="bottomLeft" state="frozen"/>
      <selection activeCell="L12" sqref="L12"/>
      <selection pane="bottomLeft" activeCell="B58" sqref="B58"/>
    </sheetView>
  </sheetViews>
  <sheetFormatPr baseColWidth="10" defaultColWidth="11.375" defaultRowHeight="11.4" x14ac:dyDescent="0.2"/>
  <cols>
    <col min="1" max="1" width="2.75" customWidth="1"/>
    <col min="2" max="2" width="25.625" customWidth="1"/>
    <col min="3" max="5" width="15" customWidth="1"/>
    <col min="6" max="6" width="18.875" customWidth="1"/>
    <col min="7" max="7" width="16.125" customWidth="1"/>
    <col min="8" max="11" width="15" customWidth="1"/>
  </cols>
  <sheetData>
    <row r="1" spans="1:13" s="4" customFormat="1" ht="13.8" x14ac:dyDescent="0.2">
      <c r="C1" s="40"/>
      <c r="E1" s="41"/>
    </row>
    <row r="2" spans="1:13" s="203" customFormat="1" ht="20.100000000000001" customHeight="1" x14ac:dyDescent="0.25">
      <c r="A2" s="201"/>
      <c r="B2" s="202" t="s">
        <v>44</v>
      </c>
      <c r="C2" s="202"/>
      <c r="D2" s="202"/>
      <c r="E2" s="202"/>
      <c r="F2" s="202"/>
      <c r="G2" s="202"/>
    </row>
    <row r="3" spans="1:13" s="80" customFormat="1" ht="50.25" customHeight="1" x14ac:dyDescent="0.2">
      <c r="A3" s="65"/>
      <c r="B3" s="381" t="s">
        <v>506</v>
      </c>
      <c r="C3" s="381"/>
      <c r="D3" s="381"/>
      <c r="E3" s="381"/>
      <c r="F3" s="381"/>
      <c r="G3" s="381"/>
      <c r="H3" s="381"/>
      <c r="I3" s="381"/>
      <c r="J3" s="381"/>
      <c r="K3" s="381"/>
    </row>
    <row r="4" spans="1:13" ht="18.899999999999999" customHeight="1" x14ac:dyDescent="0.2">
      <c r="A4" s="204"/>
      <c r="B4" s="422" t="s">
        <v>393</v>
      </c>
      <c r="C4" s="427" t="s">
        <v>449</v>
      </c>
      <c r="D4" s="427"/>
      <c r="E4" s="427"/>
      <c r="F4" s="410" t="s">
        <v>450</v>
      </c>
      <c r="G4" s="410" t="s">
        <v>451</v>
      </c>
      <c r="H4" s="410" t="s">
        <v>452</v>
      </c>
      <c r="I4" s="427" t="s">
        <v>453</v>
      </c>
      <c r="J4" s="427"/>
      <c r="K4" s="397" t="s">
        <v>476</v>
      </c>
    </row>
    <row r="5" spans="1:13" ht="30" customHeight="1" x14ac:dyDescent="0.2">
      <c r="A5" s="204"/>
      <c r="B5" s="422"/>
      <c r="C5" s="200" t="s">
        <v>14</v>
      </c>
      <c r="D5" s="410" t="s">
        <v>454</v>
      </c>
      <c r="E5" s="410"/>
      <c r="F5" s="410"/>
      <c r="G5" s="410"/>
      <c r="H5" s="410"/>
      <c r="I5" s="200" t="s">
        <v>477</v>
      </c>
      <c r="J5" s="200" t="s">
        <v>478</v>
      </c>
      <c r="K5" s="397"/>
    </row>
    <row r="6" spans="1:13" ht="18.899999999999999" customHeight="1" x14ac:dyDescent="0.2">
      <c r="A6" s="204"/>
      <c r="B6" s="422"/>
      <c r="C6" s="410" t="s">
        <v>340</v>
      </c>
      <c r="D6" s="410"/>
      <c r="E6" s="200" t="s">
        <v>455</v>
      </c>
      <c r="F6" s="410" t="s">
        <v>456</v>
      </c>
      <c r="G6" s="410"/>
      <c r="H6" s="410"/>
      <c r="I6" s="410" t="s">
        <v>455</v>
      </c>
      <c r="J6" s="410"/>
      <c r="K6" s="321" t="s">
        <v>456</v>
      </c>
    </row>
    <row r="7" spans="1:13" ht="15" customHeight="1" x14ac:dyDescent="0.25">
      <c r="A7" s="204"/>
      <c r="B7" s="322"/>
      <c r="C7" s="445" t="s">
        <v>479</v>
      </c>
      <c r="D7" s="445"/>
      <c r="E7" s="445"/>
      <c r="F7" s="445"/>
      <c r="G7" s="445"/>
      <c r="H7" s="445"/>
      <c r="I7" s="445"/>
      <c r="J7" s="445"/>
      <c r="K7" s="445"/>
    </row>
    <row r="8" spans="1:13" ht="15" customHeight="1" x14ac:dyDescent="0.2">
      <c r="A8" s="204"/>
      <c r="B8" s="319" t="s">
        <v>16</v>
      </c>
      <c r="C8" s="323">
        <v>1955</v>
      </c>
      <c r="D8" s="323">
        <v>1887</v>
      </c>
      <c r="E8" s="324">
        <v>96.5</v>
      </c>
      <c r="F8" s="323">
        <v>423</v>
      </c>
      <c r="G8" s="323">
        <v>60944</v>
      </c>
      <c r="H8" s="323">
        <v>846</v>
      </c>
      <c r="I8" s="324">
        <v>1.4</v>
      </c>
      <c r="J8" s="324">
        <v>2.1</v>
      </c>
      <c r="K8" s="323">
        <v>60098</v>
      </c>
      <c r="L8" s="99"/>
    </row>
    <row r="9" spans="1:13" ht="34.200000000000003" x14ac:dyDescent="0.2">
      <c r="A9" s="204"/>
      <c r="B9" s="325" t="s">
        <v>457</v>
      </c>
      <c r="C9" s="326">
        <v>2</v>
      </c>
      <c r="D9" s="326">
        <v>2</v>
      </c>
      <c r="E9" s="327">
        <v>100</v>
      </c>
      <c r="F9" s="328" t="s">
        <v>64</v>
      </c>
      <c r="G9" s="328" t="s">
        <v>64</v>
      </c>
      <c r="H9" s="328" t="s">
        <v>64</v>
      </c>
      <c r="I9" s="329" t="s">
        <v>64</v>
      </c>
      <c r="J9" s="329" t="s">
        <v>64</v>
      </c>
      <c r="K9" s="328" t="s">
        <v>64</v>
      </c>
      <c r="L9" s="99"/>
      <c r="M9" s="330"/>
    </row>
    <row r="10" spans="1:13" ht="15" customHeight="1" x14ac:dyDescent="0.2">
      <c r="A10" s="204"/>
      <c r="B10" s="250"/>
      <c r="C10" s="326"/>
      <c r="D10" s="326"/>
      <c r="E10" s="327"/>
      <c r="F10" s="328"/>
      <c r="G10" s="328"/>
      <c r="H10" s="328"/>
      <c r="I10" s="327"/>
      <c r="J10" s="327"/>
      <c r="K10" s="326"/>
      <c r="L10" s="99"/>
    </row>
    <row r="11" spans="1:13" ht="15" customHeight="1" x14ac:dyDescent="0.2">
      <c r="A11" s="204"/>
      <c r="B11" s="319" t="s">
        <v>447</v>
      </c>
      <c r="C11" s="323">
        <v>448</v>
      </c>
      <c r="D11" s="323">
        <v>435</v>
      </c>
      <c r="E11" s="324">
        <v>97.1</v>
      </c>
      <c r="F11" s="328" t="s">
        <v>64</v>
      </c>
      <c r="G11" s="328" t="s">
        <v>64</v>
      </c>
      <c r="H11" s="328" t="s">
        <v>64</v>
      </c>
      <c r="I11" s="324">
        <v>1.7</v>
      </c>
      <c r="J11" s="324">
        <v>1.7</v>
      </c>
      <c r="K11" s="328" t="s">
        <v>64</v>
      </c>
      <c r="L11" s="99"/>
    </row>
    <row r="12" spans="1:13" ht="15" customHeight="1" x14ac:dyDescent="0.2">
      <c r="A12" s="204"/>
      <c r="B12" s="250" t="s">
        <v>397</v>
      </c>
      <c r="C12" s="326">
        <v>71</v>
      </c>
      <c r="D12" s="326">
        <v>70</v>
      </c>
      <c r="E12" s="327">
        <v>98.6</v>
      </c>
      <c r="F12" s="328" t="s">
        <v>64</v>
      </c>
      <c r="G12" s="328" t="s">
        <v>64</v>
      </c>
      <c r="H12" s="328" t="s">
        <v>64</v>
      </c>
      <c r="I12" s="327">
        <v>2.5</v>
      </c>
      <c r="J12" s="327">
        <v>2.5</v>
      </c>
      <c r="K12" s="328" t="s">
        <v>64</v>
      </c>
      <c r="L12" s="99"/>
    </row>
    <row r="13" spans="1:13" ht="15" customHeight="1" x14ac:dyDescent="0.2">
      <c r="B13" s="250" t="s">
        <v>398</v>
      </c>
      <c r="C13" s="326">
        <v>143</v>
      </c>
      <c r="D13" s="326">
        <v>137</v>
      </c>
      <c r="E13" s="327">
        <v>95.8</v>
      </c>
      <c r="F13" s="328" t="s">
        <v>64</v>
      </c>
      <c r="G13" s="328" t="s">
        <v>64</v>
      </c>
      <c r="H13" s="328" t="s">
        <v>64</v>
      </c>
      <c r="I13" s="327">
        <v>1.1000000000000001</v>
      </c>
      <c r="J13" s="327">
        <v>1.1000000000000001</v>
      </c>
      <c r="K13" s="328" t="s">
        <v>64</v>
      </c>
      <c r="L13" s="99"/>
    </row>
    <row r="14" spans="1:13" ht="15" customHeight="1" x14ac:dyDescent="0.2">
      <c r="B14" s="250" t="s">
        <v>399</v>
      </c>
      <c r="C14" s="326">
        <v>138</v>
      </c>
      <c r="D14" s="326">
        <v>135</v>
      </c>
      <c r="E14" s="327">
        <v>97.8</v>
      </c>
      <c r="F14" s="328" t="s">
        <v>64</v>
      </c>
      <c r="G14" s="328" t="s">
        <v>64</v>
      </c>
      <c r="H14" s="328" t="s">
        <v>64</v>
      </c>
      <c r="I14" s="327">
        <v>2.6</v>
      </c>
      <c r="J14" s="327">
        <v>2.6</v>
      </c>
      <c r="K14" s="328" t="s">
        <v>64</v>
      </c>
      <c r="L14" s="99"/>
    </row>
    <row r="15" spans="1:13" ht="15" customHeight="1" x14ac:dyDescent="0.2">
      <c r="B15" s="250" t="s">
        <v>400</v>
      </c>
      <c r="C15" s="326">
        <v>96</v>
      </c>
      <c r="D15" s="326">
        <v>93</v>
      </c>
      <c r="E15" s="327">
        <v>96.9</v>
      </c>
      <c r="F15" s="328" t="s">
        <v>64</v>
      </c>
      <c r="G15" s="328" t="s">
        <v>64</v>
      </c>
      <c r="H15" s="328" t="s">
        <v>64</v>
      </c>
      <c r="I15" s="327">
        <v>0.7</v>
      </c>
      <c r="J15" s="327">
        <v>0.7</v>
      </c>
      <c r="K15" s="328" t="s">
        <v>64</v>
      </c>
      <c r="L15" s="99"/>
    </row>
    <row r="16" spans="1:13" ht="15" customHeight="1" x14ac:dyDescent="0.2">
      <c r="B16" s="250"/>
      <c r="C16" s="326"/>
      <c r="D16" s="326"/>
      <c r="E16" s="327"/>
      <c r="F16" s="326"/>
      <c r="G16" s="326"/>
      <c r="H16" s="326"/>
      <c r="I16" s="327"/>
      <c r="J16" s="327"/>
      <c r="K16" s="326"/>
      <c r="L16" s="99"/>
    </row>
    <row r="17" spans="2:12" ht="15" customHeight="1" x14ac:dyDescent="0.2">
      <c r="B17" s="319" t="s">
        <v>448</v>
      </c>
      <c r="C17" s="323">
        <v>1505</v>
      </c>
      <c r="D17" s="323">
        <v>1450</v>
      </c>
      <c r="E17" s="324">
        <v>96.3</v>
      </c>
      <c r="F17" s="328" t="s">
        <v>64</v>
      </c>
      <c r="G17" s="328" t="s">
        <v>64</v>
      </c>
      <c r="H17" s="328" t="s">
        <v>64</v>
      </c>
      <c r="I17" s="324">
        <v>1.3</v>
      </c>
      <c r="J17" s="324">
        <v>2.1</v>
      </c>
      <c r="K17" s="328" t="s">
        <v>64</v>
      </c>
      <c r="L17" s="99"/>
    </row>
    <row r="18" spans="2:12" ht="15" customHeight="1" x14ac:dyDescent="0.2">
      <c r="B18" s="250" t="s">
        <v>458</v>
      </c>
      <c r="C18" s="326">
        <v>105</v>
      </c>
      <c r="D18" s="326">
        <v>100</v>
      </c>
      <c r="E18" s="327">
        <v>95.2</v>
      </c>
      <c r="F18" s="328" t="s">
        <v>64</v>
      </c>
      <c r="G18" s="328" t="s">
        <v>64</v>
      </c>
      <c r="H18" s="328" t="s">
        <v>64</v>
      </c>
      <c r="I18" s="327">
        <v>1.2</v>
      </c>
      <c r="J18" s="327">
        <v>1.2</v>
      </c>
      <c r="K18" s="328" t="s">
        <v>64</v>
      </c>
      <c r="L18" s="99"/>
    </row>
    <row r="19" spans="2:12" ht="15" customHeight="1" x14ac:dyDescent="0.2">
      <c r="B19" s="250" t="s">
        <v>459</v>
      </c>
      <c r="C19" s="326">
        <v>124</v>
      </c>
      <c r="D19" s="326">
        <v>114</v>
      </c>
      <c r="E19" s="327">
        <v>91.9</v>
      </c>
      <c r="F19" s="328" t="s">
        <v>64</v>
      </c>
      <c r="G19" s="328" t="s">
        <v>64</v>
      </c>
      <c r="H19" s="328" t="s">
        <v>64</v>
      </c>
      <c r="I19" s="327">
        <v>2.6</v>
      </c>
      <c r="J19" s="327">
        <v>2.6</v>
      </c>
      <c r="K19" s="328" t="s">
        <v>64</v>
      </c>
      <c r="L19" s="99"/>
    </row>
    <row r="20" spans="2:12" ht="15" customHeight="1" x14ac:dyDescent="0.2">
      <c r="B20" s="250" t="s">
        <v>460</v>
      </c>
      <c r="C20" s="326">
        <v>91</v>
      </c>
      <c r="D20" s="326">
        <v>91</v>
      </c>
      <c r="E20" s="327">
        <v>100</v>
      </c>
      <c r="F20" s="328" t="s">
        <v>64</v>
      </c>
      <c r="G20" s="328" t="s">
        <v>64</v>
      </c>
      <c r="H20" s="328" t="s">
        <v>64</v>
      </c>
      <c r="I20" s="327">
        <v>0.2</v>
      </c>
      <c r="J20" s="327">
        <v>0.2</v>
      </c>
      <c r="K20" s="328" t="s">
        <v>64</v>
      </c>
      <c r="L20" s="99"/>
    </row>
    <row r="21" spans="2:12" ht="15" customHeight="1" x14ac:dyDescent="0.2">
      <c r="B21" s="250" t="s">
        <v>404</v>
      </c>
      <c r="C21" s="326">
        <v>107</v>
      </c>
      <c r="D21" s="326">
        <v>100</v>
      </c>
      <c r="E21" s="327">
        <v>93.5</v>
      </c>
      <c r="F21" s="328" t="s">
        <v>64</v>
      </c>
      <c r="G21" s="328" t="s">
        <v>64</v>
      </c>
      <c r="H21" s="328" t="s">
        <v>64</v>
      </c>
      <c r="I21" s="327">
        <v>1.4</v>
      </c>
      <c r="J21" s="327">
        <v>1.4</v>
      </c>
      <c r="K21" s="328" t="s">
        <v>64</v>
      </c>
      <c r="L21" s="99"/>
    </row>
    <row r="22" spans="2:12" ht="15" customHeight="1" x14ac:dyDescent="0.2">
      <c r="B22" s="250" t="s">
        <v>461</v>
      </c>
      <c r="C22" s="326">
        <v>303</v>
      </c>
      <c r="D22" s="326">
        <v>290</v>
      </c>
      <c r="E22" s="327">
        <v>95.7</v>
      </c>
      <c r="F22" s="328" t="s">
        <v>64</v>
      </c>
      <c r="G22" s="328" t="s">
        <v>64</v>
      </c>
      <c r="H22" s="328" t="s">
        <v>64</v>
      </c>
      <c r="I22" s="327">
        <v>1.6</v>
      </c>
      <c r="J22" s="327">
        <v>1.6</v>
      </c>
      <c r="K22" s="328" t="s">
        <v>64</v>
      </c>
      <c r="L22" s="99"/>
    </row>
    <row r="23" spans="2:12" ht="15" customHeight="1" x14ac:dyDescent="0.2">
      <c r="B23" s="250" t="s">
        <v>462</v>
      </c>
      <c r="C23" s="326">
        <v>91</v>
      </c>
      <c r="D23" s="326">
        <v>88</v>
      </c>
      <c r="E23" s="327">
        <v>96.7</v>
      </c>
      <c r="F23" s="328" t="s">
        <v>64</v>
      </c>
      <c r="G23" s="328" t="s">
        <v>64</v>
      </c>
      <c r="H23" s="328" t="s">
        <v>64</v>
      </c>
      <c r="I23" s="327">
        <v>1.2</v>
      </c>
      <c r="J23" s="327">
        <v>1.2</v>
      </c>
      <c r="K23" s="328" t="s">
        <v>64</v>
      </c>
      <c r="L23" s="99"/>
    </row>
    <row r="24" spans="2:12" ht="15" customHeight="1" x14ac:dyDescent="0.2">
      <c r="B24" s="250" t="s">
        <v>463</v>
      </c>
      <c r="C24" s="326">
        <v>168</v>
      </c>
      <c r="D24" s="326">
        <v>167</v>
      </c>
      <c r="E24" s="327">
        <v>99.4</v>
      </c>
      <c r="F24" s="328" t="s">
        <v>64</v>
      </c>
      <c r="G24" s="328" t="s">
        <v>64</v>
      </c>
      <c r="H24" s="328" t="s">
        <v>64</v>
      </c>
      <c r="I24" s="327">
        <v>1.2</v>
      </c>
      <c r="J24" s="327">
        <v>1.2</v>
      </c>
      <c r="K24" s="328" t="s">
        <v>64</v>
      </c>
      <c r="L24" s="99"/>
    </row>
    <row r="25" spans="2:12" ht="15" customHeight="1" x14ac:dyDescent="0.2">
      <c r="B25" s="250" t="s">
        <v>464</v>
      </c>
      <c r="C25" s="326">
        <v>239</v>
      </c>
      <c r="D25" s="326">
        <v>232</v>
      </c>
      <c r="E25" s="327">
        <v>97.1</v>
      </c>
      <c r="F25" s="328" t="s">
        <v>64</v>
      </c>
      <c r="G25" s="328" t="s">
        <v>64</v>
      </c>
      <c r="H25" s="328" t="s">
        <v>64</v>
      </c>
      <c r="I25" s="327">
        <v>1.2</v>
      </c>
      <c r="J25" s="327">
        <v>1.4</v>
      </c>
      <c r="K25" s="328" t="s">
        <v>64</v>
      </c>
      <c r="L25" s="99"/>
    </row>
    <row r="26" spans="2:12" ht="15" customHeight="1" x14ac:dyDescent="0.2">
      <c r="B26" s="250" t="s">
        <v>465</v>
      </c>
      <c r="C26" s="326">
        <v>131</v>
      </c>
      <c r="D26" s="326">
        <v>123</v>
      </c>
      <c r="E26" s="327">
        <v>93.9</v>
      </c>
      <c r="F26" s="328" t="s">
        <v>64</v>
      </c>
      <c r="G26" s="328" t="s">
        <v>64</v>
      </c>
      <c r="H26" s="328" t="s">
        <v>64</v>
      </c>
      <c r="I26" s="327">
        <v>1.2</v>
      </c>
      <c r="J26" s="327">
        <v>11.2</v>
      </c>
      <c r="K26" s="328" t="s">
        <v>64</v>
      </c>
      <c r="L26" s="99"/>
    </row>
    <row r="27" spans="2:12" ht="15" customHeight="1" x14ac:dyDescent="0.2">
      <c r="B27" s="250" t="s">
        <v>466</v>
      </c>
      <c r="C27" s="326">
        <v>73</v>
      </c>
      <c r="D27" s="326">
        <v>73</v>
      </c>
      <c r="E27" s="327">
        <v>100</v>
      </c>
      <c r="F27" s="328" t="s">
        <v>64</v>
      </c>
      <c r="G27" s="328" t="s">
        <v>64</v>
      </c>
      <c r="H27" s="328" t="s">
        <v>64</v>
      </c>
      <c r="I27" s="327">
        <v>1.9</v>
      </c>
      <c r="J27" s="327">
        <v>1.9</v>
      </c>
      <c r="K27" s="328" t="s">
        <v>64</v>
      </c>
      <c r="L27" s="99"/>
    </row>
    <row r="28" spans="2:12" ht="15" customHeight="1" x14ac:dyDescent="0.2">
      <c r="B28" s="250" t="s">
        <v>467</v>
      </c>
      <c r="C28" s="326">
        <v>73</v>
      </c>
      <c r="D28" s="326">
        <v>72</v>
      </c>
      <c r="E28" s="327">
        <v>98.6</v>
      </c>
      <c r="F28" s="328" t="s">
        <v>64</v>
      </c>
      <c r="G28" s="328" t="s">
        <v>64</v>
      </c>
      <c r="H28" s="328" t="s">
        <v>64</v>
      </c>
      <c r="I28" s="327">
        <v>2.9</v>
      </c>
      <c r="J28" s="327">
        <v>2.9</v>
      </c>
      <c r="K28" s="328" t="s">
        <v>64</v>
      </c>
      <c r="L28" s="99"/>
    </row>
    <row r="29" spans="2:12" s="222" customFormat="1" ht="15" customHeight="1" x14ac:dyDescent="0.2">
      <c r="B29" s="331"/>
      <c r="C29" s="445" t="s">
        <v>468</v>
      </c>
      <c r="D29" s="445"/>
      <c r="E29" s="445"/>
      <c r="F29" s="445"/>
      <c r="G29" s="445"/>
      <c r="H29" s="445"/>
      <c r="I29" s="445"/>
      <c r="J29" s="445"/>
      <c r="K29" s="445"/>
      <c r="L29" s="330"/>
    </row>
    <row r="30" spans="2:12" ht="15" customHeight="1" x14ac:dyDescent="0.2">
      <c r="B30" s="319" t="s">
        <v>469</v>
      </c>
      <c r="C30" s="323">
        <v>1819</v>
      </c>
      <c r="D30" s="323">
        <v>1758</v>
      </c>
      <c r="E30" s="324">
        <v>96.6</v>
      </c>
      <c r="F30" s="323">
        <v>11</v>
      </c>
      <c r="G30" s="323">
        <v>53115</v>
      </c>
      <c r="H30" s="323">
        <v>784</v>
      </c>
      <c r="I30" s="324">
        <v>1.5</v>
      </c>
      <c r="J30" s="324">
        <v>1.5</v>
      </c>
      <c r="K30" s="323">
        <v>52331</v>
      </c>
      <c r="L30" s="99"/>
    </row>
    <row r="31" spans="2:12" ht="34.200000000000003" x14ac:dyDescent="0.2">
      <c r="B31" s="325" t="s">
        <v>457</v>
      </c>
      <c r="C31" s="326">
        <v>2</v>
      </c>
      <c r="D31" s="326">
        <v>2</v>
      </c>
      <c r="E31" s="327">
        <v>100</v>
      </c>
      <c r="F31" s="328" t="s">
        <v>64</v>
      </c>
      <c r="G31" s="328" t="s">
        <v>64</v>
      </c>
      <c r="H31" s="328" t="s">
        <v>64</v>
      </c>
      <c r="I31" s="329" t="s">
        <v>64</v>
      </c>
      <c r="J31" s="329" t="s">
        <v>64</v>
      </c>
      <c r="K31" s="328" t="s">
        <v>64</v>
      </c>
      <c r="L31" s="99"/>
    </row>
    <row r="32" spans="2:12" ht="15" customHeight="1" x14ac:dyDescent="0.2">
      <c r="B32" s="319"/>
      <c r="C32" s="326"/>
      <c r="D32" s="326"/>
      <c r="E32" s="327"/>
      <c r="F32" s="328"/>
      <c r="G32" s="328"/>
      <c r="H32" s="328"/>
      <c r="I32" s="327"/>
      <c r="J32" s="327"/>
      <c r="K32" s="326"/>
      <c r="L32" s="99"/>
    </row>
    <row r="33" spans="2:12" ht="15" customHeight="1" x14ac:dyDescent="0.2">
      <c r="B33" s="319" t="s">
        <v>447</v>
      </c>
      <c r="C33" s="323">
        <v>417</v>
      </c>
      <c r="D33" s="323">
        <v>405</v>
      </c>
      <c r="E33" s="324">
        <v>97.1</v>
      </c>
      <c r="F33" s="328" t="s">
        <v>64</v>
      </c>
      <c r="G33" s="328" t="s">
        <v>64</v>
      </c>
      <c r="H33" s="328" t="s">
        <v>64</v>
      </c>
      <c r="I33" s="324">
        <v>1.7</v>
      </c>
      <c r="J33" s="324">
        <v>1.7</v>
      </c>
      <c r="K33" s="328" t="s">
        <v>64</v>
      </c>
      <c r="L33" s="99"/>
    </row>
    <row r="34" spans="2:12" ht="15" customHeight="1" x14ac:dyDescent="0.2">
      <c r="B34" s="250" t="s">
        <v>397</v>
      </c>
      <c r="C34" s="326">
        <v>67</v>
      </c>
      <c r="D34" s="326">
        <v>66</v>
      </c>
      <c r="E34" s="327">
        <v>98.5</v>
      </c>
      <c r="F34" s="328" t="s">
        <v>64</v>
      </c>
      <c r="G34" s="328" t="s">
        <v>64</v>
      </c>
      <c r="H34" s="328" t="s">
        <v>64</v>
      </c>
      <c r="I34" s="327">
        <v>2.6</v>
      </c>
      <c r="J34" s="327">
        <v>2.6</v>
      </c>
      <c r="K34" s="328" t="s">
        <v>64</v>
      </c>
      <c r="L34" s="99"/>
    </row>
    <row r="35" spans="2:12" ht="15" customHeight="1" x14ac:dyDescent="0.2">
      <c r="B35" s="250" t="s">
        <v>398</v>
      </c>
      <c r="C35" s="326">
        <v>133</v>
      </c>
      <c r="D35" s="326">
        <v>127</v>
      </c>
      <c r="E35" s="327">
        <v>95.5</v>
      </c>
      <c r="F35" s="328" t="s">
        <v>64</v>
      </c>
      <c r="G35" s="328" t="s">
        <v>64</v>
      </c>
      <c r="H35" s="328" t="s">
        <v>64</v>
      </c>
      <c r="I35" s="327">
        <v>1.2</v>
      </c>
      <c r="J35" s="327">
        <v>1.2</v>
      </c>
      <c r="K35" s="328" t="s">
        <v>64</v>
      </c>
      <c r="L35" s="99"/>
    </row>
    <row r="36" spans="2:12" ht="15" customHeight="1" x14ac:dyDescent="0.2">
      <c r="B36" s="250" t="s">
        <v>399</v>
      </c>
      <c r="C36" s="326">
        <v>124</v>
      </c>
      <c r="D36" s="326">
        <v>121</v>
      </c>
      <c r="E36" s="327">
        <v>97.6</v>
      </c>
      <c r="F36" s="328" t="s">
        <v>64</v>
      </c>
      <c r="G36" s="328" t="s">
        <v>64</v>
      </c>
      <c r="H36" s="328" t="s">
        <v>64</v>
      </c>
      <c r="I36" s="327">
        <v>2.9</v>
      </c>
      <c r="J36" s="327">
        <v>2.9</v>
      </c>
      <c r="K36" s="328" t="s">
        <v>64</v>
      </c>
      <c r="L36" s="99"/>
    </row>
    <row r="37" spans="2:12" ht="15" customHeight="1" x14ac:dyDescent="0.2">
      <c r="B37" s="250" t="s">
        <v>400</v>
      </c>
      <c r="C37" s="326">
        <v>93</v>
      </c>
      <c r="D37" s="326">
        <v>91</v>
      </c>
      <c r="E37" s="327">
        <v>97.8</v>
      </c>
      <c r="F37" s="328" t="s">
        <v>64</v>
      </c>
      <c r="G37" s="328" t="s">
        <v>64</v>
      </c>
      <c r="H37" s="328" t="s">
        <v>64</v>
      </c>
      <c r="I37" s="327">
        <v>0.7</v>
      </c>
      <c r="J37" s="327">
        <v>0.7</v>
      </c>
      <c r="K37" s="328" t="s">
        <v>64</v>
      </c>
      <c r="L37" s="99"/>
    </row>
    <row r="38" spans="2:12" ht="15" customHeight="1" x14ac:dyDescent="0.2">
      <c r="B38" s="319"/>
      <c r="C38" s="326"/>
      <c r="D38" s="326"/>
      <c r="E38" s="327"/>
      <c r="F38" s="326"/>
      <c r="G38" s="326"/>
      <c r="H38" s="326"/>
      <c r="I38" s="327"/>
      <c r="J38" s="327"/>
      <c r="K38" s="326"/>
      <c r="L38" s="99"/>
    </row>
    <row r="39" spans="2:12" ht="15" customHeight="1" x14ac:dyDescent="0.2">
      <c r="B39" s="319" t="s">
        <v>448</v>
      </c>
      <c r="C39" s="323">
        <v>1400</v>
      </c>
      <c r="D39" s="323">
        <v>1351</v>
      </c>
      <c r="E39" s="324">
        <v>96.5</v>
      </c>
      <c r="F39" s="328" t="s">
        <v>64</v>
      </c>
      <c r="G39" s="328" t="s">
        <v>64</v>
      </c>
      <c r="H39" s="328" t="s">
        <v>64</v>
      </c>
      <c r="I39" s="324">
        <v>1.4</v>
      </c>
      <c r="J39" s="324">
        <v>1.4</v>
      </c>
      <c r="K39" s="328" t="s">
        <v>64</v>
      </c>
      <c r="L39" s="99"/>
    </row>
    <row r="40" spans="2:12" ht="15" customHeight="1" x14ac:dyDescent="0.2">
      <c r="B40" s="250" t="s">
        <v>401</v>
      </c>
      <c r="C40" s="326">
        <v>105</v>
      </c>
      <c r="D40" s="326">
        <v>100</v>
      </c>
      <c r="E40" s="327">
        <v>95.2</v>
      </c>
      <c r="F40" s="328" t="s">
        <v>64</v>
      </c>
      <c r="G40" s="328" t="s">
        <v>64</v>
      </c>
      <c r="H40" s="328" t="s">
        <v>64</v>
      </c>
      <c r="I40" s="327">
        <v>1.2</v>
      </c>
      <c r="J40" s="327">
        <v>1.2</v>
      </c>
      <c r="K40" s="328" t="s">
        <v>64</v>
      </c>
      <c r="L40" s="99"/>
    </row>
    <row r="41" spans="2:12" ht="15" customHeight="1" x14ac:dyDescent="0.2">
      <c r="B41" s="250" t="s">
        <v>402</v>
      </c>
      <c r="C41" s="326">
        <v>116</v>
      </c>
      <c r="D41" s="326">
        <v>106</v>
      </c>
      <c r="E41" s="327">
        <v>91.4</v>
      </c>
      <c r="F41" s="328" t="s">
        <v>64</v>
      </c>
      <c r="G41" s="328" t="s">
        <v>64</v>
      </c>
      <c r="H41" s="328" t="s">
        <v>64</v>
      </c>
      <c r="I41" s="327">
        <v>2.6</v>
      </c>
      <c r="J41" s="327">
        <v>2.6</v>
      </c>
      <c r="K41" s="328" t="s">
        <v>64</v>
      </c>
      <c r="L41" s="99"/>
    </row>
    <row r="42" spans="2:12" ht="15" customHeight="1" x14ac:dyDescent="0.2">
      <c r="B42" s="250" t="s">
        <v>470</v>
      </c>
      <c r="C42" s="326">
        <v>88</v>
      </c>
      <c r="D42" s="326">
        <v>88</v>
      </c>
      <c r="E42" s="327">
        <v>100</v>
      </c>
      <c r="F42" s="328" t="s">
        <v>64</v>
      </c>
      <c r="G42" s="328" t="s">
        <v>64</v>
      </c>
      <c r="H42" s="328" t="s">
        <v>64</v>
      </c>
      <c r="I42" s="327">
        <v>0.3</v>
      </c>
      <c r="J42" s="327">
        <v>0.3</v>
      </c>
      <c r="K42" s="328" t="s">
        <v>64</v>
      </c>
      <c r="L42" s="99"/>
    </row>
    <row r="43" spans="2:12" ht="15" customHeight="1" x14ac:dyDescent="0.2">
      <c r="B43" s="250" t="s">
        <v>404</v>
      </c>
      <c r="C43" s="326">
        <v>91</v>
      </c>
      <c r="D43" s="326">
        <v>86</v>
      </c>
      <c r="E43" s="327">
        <v>94.5</v>
      </c>
      <c r="F43" s="328" t="s">
        <v>64</v>
      </c>
      <c r="G43" s="328" t="s">
        <v>64</v>
      </c>
      <c r="H43" s="328" t="s">
        <v>64</v>
      </c>
      <c r="I43" s="327">
        <v>1.9</v>
      </c>
      <c r="J43" s="327">
        <v>1.9</v>
      </c>
      <c r="K43" s="328" t="s">
        <v>64</v>
      </c>
      <c r="L43" s="99"/>
    </row>
    <row r="44" spans="2:12" ht="15" customHeight="1" x14ac:dyDescent="0.2">
      <c r="B44" s="250" t="s">
        <v>405</v>
      </c>
      <c r="C44" s="326">
        <v>282</v>
      </c>
      <c r="D44" s="326">
        <v>269</v>
      </c>
      <c r="E44" s="327">
        <v>95.4</v>
      </c>
      <c r="F44" s="328" t="s">
        <v>64</v>
      </c>
      <c r="G44" s="328" t="s">
        <v>64</v>
      </c>
      <c r="H44" s="328" t="s">
        <v>64</v>
      </c>
      <c r="I44" s="327">
        <v>2</v>
      </c>
      <c r="J44" s="327">
        <v>2</v>
      </c>
      <c r="K44" s="328" t="s">
        <v>64</v>
      </c>
      <c r="L44" s="99"/>
    </row>
    <row r="45" spans="2:12" ht="15" customHeight="1" x14ac:dyDescent="0.2">
      <c r="B45" s="250" t="s">
        <v>406</v>
      </c>
      <c r="C45" s="326">
        <v>87</v>
      </c>
      <c r="D45" s="326">
        <v>84</v>
      </c>
      <c r="E45" s="327">
        <v>96.6</v>
      </c>
      <c r="F45" s="328" t="s">
        <v>64</v>
      </c>
      <c r="G45" s="328" t="s">
        <v>64</v>
      </c>
      <c r="H45" s="328" t="s">
        <v>64</v>
      </c>
      <c r="I45" s="327">
        <v>1.4</v>
      </c>
      <c r="J45" s="327">
        <v>1.4</v>
      </c>
      <c r="K45" s="328" t="s">
        <v>64</v>
      </c>
      <c r="L45" s="99"/>
    </row>
    <row r="46" spans="2:12" ht="15" customHeight="1" x14ac:dyDescent="0.2">
      <c r="B46" s="250" t="s">
        <v>407</v>
      </c>
      <c r="C46" s="326">
        <v>156</v>
      </c>
      <c r="D46" s="326">
        <v>155</v>
      </c>
      <c r="E46" s="327">
        <v>99.4</v>
      </c>
      <c r="F46" s="328" t="s">
        <v>64</v>
      </c>
      <c r="G46" s="328" t="s">
        <v>64</v>
      </c>
      <c r="H46" s="328" t="s">
        <v>64</v>
      </c>
      <c r="I46" s="327">
        <v>1.5</v>
      </c>
      <c r="J46" s="327">
        <v>1.5</v>
      </c>
      <c r="K46" s="328" t="s">
        <v>64</v>
      </c>
      <c r="L46" s="99"/>
    </row>
    <row r="47" spans="2:12" ht="15" customHeight="1" x14ac:dyDescent="0.2">
      <c r="B47" s="250" t="s">
        <v>471</v>
      </c>
      <c r="C47" s="326">
        <v>229</v>
      </c>
      <c r="D47" s="326">
        <v>223</v>
      </c>
      <c r="E47" s="327">
        <v>97.4</v>
      </c>
      <c r="F47" s="328" t="s">
        <v>64</v>
      </c>
      <c r="G47" s="328" t="s">
        <v>64</v>
      </c>
      <c r="H47" s="328" t="s">
        <v>64</v>
      </c>
      <c r="I47" s="327">
        <v>1.1000000000000001</v>
      </c>
      <c r="J47" s="327">
        <v>1.3</v>
      </c>
      <c r="K47" s="328" t="s">
        <v>64</v>
      </c>
      <c r="L47" s="99"/>
    </row>
    <row r="48" spans="2:12" ht="15" customHeight="1" x14ac:dyDescent="0.2">
      <c r="B48" s="250" t="s">
        <v>409</v>
      </c>
      <c r="C48" s="326">
        <v>109</v>
      </c>
      <c r="D48" s="326">
        <v>103</v>
      </c>
      <c r="E48" s="327">
        <v>94.5</v>
      </c>
      <c r="F48" s="328" t="s">
        <v>64</v>
      </c>
      <c r="G48" s="328" t="s">
        <v>64</v>
      </c>
      <c r="H48" s="328" t="s">
        <v>64</v>
      </c>
      <c r="I48" s="327">
        <v>1.2</v>
      </c>
      <c r="J48" s="327">
        <v>1.2</v>
      </c>
      <c r="K48" s="328" t="s">
        <v>64</v>
      </c>
      <c r="L48" s="99"/>
    </row>
    <row r="49" spans="2:12" ht="15" customHeight="1" x14ac:dyDescent="0.2">
      <c r="B49" s="250" t="s">
        <v>472</v>
      </c>
      <c r="C49" s="326">
        <v>73</v>
      </c>
      <c r="D49" s="326">
        <v>73</v>
      </c>
      <c r="E49" s="327">
        <v>100</v>
      </c>
      <c r="F49" s="328" t="s">
        <v>64</v>
      </c>
      <c r="G49" s="328" t="s">
        <v>64</v>
      </c>
      <c r="H49" s="328" t="s">
        <v>64</v>
      </c>
      <c r="I49" s="327">
        <v>1.9</v>
      </c>
      <c r="J49" s="327">
        <v>1.9</v>
      </c>
      <c r="K49" s="328" t="s">
        <v>64</v>
      </c>
      <c r="L49" s="99"/>
    </row>
    <row r="50" spans="2:12" ht="15" customHeight="1" x14ac:dyDescent="0.2">
      <c r="B50" s="251" t="s">
        <v>473</v>
      </c>
      <c r="C50" s="332">
        <v>64</v>
      </c>
      <c r="D50" s="332">
        <v>64</v>
      </c>
      <c r="E50" s="333">
        <v>100</v>
      </c>
      <c r="F50" s="334" t="s">
        <v>64</v>
      </c>
      <c r="G50" s="334" t="s">
        <v>64</v>
      </c>
      <c r="H50" s="334" t="s">
        <v>64</v>
      </c>
      <c r="I50" s="333">
        <v>3</v>
      </c>
      <c r="J50" s="333">
        <v>3</v>
      </c>
      <c r="K50" s="334" t="s">
        <v>64</v>
      </c>
      <c r="L50" s="99"/>
    </row>
    <row r="51" spans="2:12" x14ac:dyDescent="0.2">
      <c r="B51" s="335"/>
      <c r="C51" s="248"/>
      <c r="D51" s="248"/>
      <c r="E51" s="336"/>
      <c r="F51" s="248"/>
      <c r="G51" s="337"/>
      <c r="H51" s="248"/>
      <c r="I51" s="338"/>
      <c r="J51" s="338"/>
      <c r="K51" s="337"/>
      <c r="L51" s="99"/>
    </row>
    <row r="52" spans="2:12" ht="13.2" customHeight="1" x14ac:dyDescent="0.2">
      <c r="B52" s="421" t="s">
        <v>481</v>
      </c>
      <c r="C52" s="421"/>
      <c r="D52" s="421"/>
      <c r="E52" s="421"/>
      <c r="F52" s="421"/>
      <c r="G52" s="421"/>
      <c r="H52" s="421"/>
      <c r="I52" s="421"/>
      <c r="J52" s="421"/>
      <c r="K52" s="421"/>
    </row>
    <row r="53" spans="2:12" ht="24" customHeight="1" x14ac:dyDescent="0.2">
      <c r="B53" s="443" t="s">
        <v>482</v>
      </c>
      <c r="C53" s="443"/>
      <c r="D53" s="443"/>
      <c r="E53" s="443"/>
      <c r="F53" s="443"/>
      <c r="G53" s="443"/>
      <c r="H53" s="443"/>
      <c r="I53" s="443"/>
      <c r="J53" s="443"/>
      <c r="K53" s="443"/>
    </row>
    <row r="54" spans="2:12" ht="17.399999999999999" customHeight="1" x14ac:dyDescent="0.2">
      <c r="B54" s="376" t="s">
        <v>483</v>
      </c>
      <c r="C54" s="99"/>
      <c r="D54" s="99"/>
      <c r="E54" s="99"/>
      <c r="F54" s="99"/>
      <c r="G54" s="99"/>
      <c r="H54" s="99"/>
      <c r="I54" s="99"/>
      <c r="J54" s="99"/>
      <c r="K54" s="99"/>
    </row>
    <row r="55" spans="2:12" ht="12.6" customHeight="1" x14ac:dyDescent="0.2">
      <c r="B55" s="443" t="s">
        <v>507</v>
      </c>
      <c r="C55" s="443"/>
      <c r="D55" s="443"/>
      <c r="E55" s="443"/>
      <c r="F55" s="443"/>
      <c r="G55" s="443"/>
      <c r="H55" s="443"/>
      <c r="I55" s="443"/>
      <c r="J55" s="443"/>
      <c r="K55" s="443"/>
    </row>
    <row r="56" spans="2:12" x14ac:dyDescent="0.2">
      <c r="B56" s="196"/>
      <c r="C56" s="99"/>
      <c r="D56" s="99"/>
      <c r="E56" s="99"/>
      <c r="F56" s="99"/>
      <c r="G56" s="99"/>
      <c r="H56" s="99"/>
      <c r="I56" s="99"/>
      <c r="J56" s="99"/>
      <c r="K56" s="99"/>
    </row>
    <row r="57" spans="2:12" x14ac:dyDescent="0.2">
      <c r="B57" s="444"/>
      <c r="C57" s="444"/>
      <c r="D57" s="444"/>
      <c r="E57" s="444"/>
      <c r="F57" s="444"/>
      <c r="G57" s="444"/>
      <c r="H57" s="444"/>
      <c r="I57" s="444"/>
      <c r="J57" s="444"/>
      <c r="K57" s="444"/>
    </row>
    <row r="59" spans="2:12" x14ac:dyDescent="0.2">
      <c r="K59" s="107" t="s">
        <v>177</v>
      </c>
    </row>
  </sheetData>
  <mergeCells count="18">
    <mergeCell ref="B3:K3"/>
    <mergeCell ref="B4:B6"/>
    <mergeCell ref="C4:E4"/>
    <mergeCell ref="F4:F5"/>
    <mergeCell ref="G4:G5"/>
    <mergeCell ref="H4:H5"/>
    <mergeCell ref="I4:J4"/>
    <mergeCell ref="K4:K5"/>
    <mergeCell ref="D5:E5"/>
    <mergeCell ref="C6:D6"/>
    <mergeCell ref="B57:K57"/>
    <mergeCell ref="F6:H6"/>
    <mergeCell ref="I6:J6"/>
    <mergeCell ref="C7:K7"/>
    <mergeCell ref="C29:K29"/>
    <mergeCell ref="B52:K52"/>
    <mergeCell ref="B53:K53"/>
    <mergeCell ref="B55:K55"/>
  </mergeCells>
  <hyperlinks>
    <hyperlink ref="K59" location="Inhaltsverzeichnis!A1" display="› Zurück zum Inhaltsverzeichnis" xr:uid="{5CAD3B20-D9AA-40B5-9A89-97C889A80778}"/>
  </hyperlinks>
  <pageMargins left="0.7" right="0.7" top="0.78740157499999996" bottom="0.78740157499999996"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01380-D22C-40A6-8291-AC9F53B5295E}">
  <dimension ref="A1:M60"/>
  <sheetViews>
    <sheetView zoomScaleNormal="100" workbookViewId="0">
      <pane ySplit="7" topLeftCell="A8" activePane="bottomLeft" state="frozen"/>
      <selection activeCell="L12" sqref="L12"/>
      <selection pane="bottomLeft" activeCell="B59" sqref="B59"/>
    </sheetView>
  </sheetViews>
  <sheetFormatPr baseColWidth="10" defaultColWidth="11.375" defaultRowHeight="11.4" x14ac:dyDescent="0.2"/>
  <cols>
    <col min="1" max="1" width="2.75" customWidth="1"/>
    <col min="2" max="2" width="25.625" customWidth="1"/>
    <col min="3" max="5" width="15" customWidth="1"/>
    <col min="6" max="6" width="18.875" customWidth="1"/>
    <col min="7" max="7" width="16.125" customWidth="1"/>
    <col min="8" max="8" width="15" customWidth="1"/>
    <col min="9" max="10" width="15" style="99" customWidth="1"/>
    <col min="11" max="11" width="15" customWidth="1"/>
  </cols>
  <sheetData>
    <row r="1" spans="1:13" s="4" customFormat="1" ht="13.8" x14ac:dyDescent="0.2">
      <c r="C1" s="40"/>
      <c r="E1" s="41"/>
      <c r="I1" s="339"/>
      <c r="J1" s="339"/>
    </row>
    <row r="2" spans="1:13" s="203" customFormat="1" ht="20.100000000000001" customHeight="1" x14ac:dyDescent="0.25">
      <c r="A2" s="201"/>
      <c r="B2" s="202" t="s">
        <v>44</v>
      </c>
      <c r="C2" s="202"/>
      <c r="D2" s="202"/>
      <c r="E2" s="202"/>
      <c r="F2" s="202"/>
      <c r="G2" s="202"/>
    </row>
    <row r="3" spans="1:13" s="80" customFormat="1" ht="50.25" customHeight="1" x14ac:dyDescent="0.2">
      <c r="A3" s="65"/>
      <c r="B3" s="381" t="s">
        <v>509</v>
      </c>
      <c r="C3" s="381"/>
      <c r="D3" s="381"/>
      <c r="E3" s="381"/>
      <c r="F3" s="381"/>
      <c r="G3" s="381"/>
      <c r="H3" s="381"/>
      <c r="I3" s="381"/>
      <c r="J3" s="381"/>
      <c r="K3" s="381"/>
    </row>
    <row r="4" spans="1:13" ht="20.100000000000001" customHeight="1" x14ac:dyDescent="0.2">
      <c r="A4" s="204"/>
      <c r="B4" s="422" t="s">
        <v>508</v>
      </c>
      <c r="C4" s="427" t="s">
        <v>449</v>
      </c>
      <c r="D4" s="427"/>
      <c r="E4" s="427"/>
      <c r="F4" s="410" t="s">
        <v>474</v>
      </c>
      <c r="G4" s="410" t="s">
        <v>451</v>
      </c>
      <c r="H4" s="410" t="s">
        <v>475</v>
      </c>
      <c r="I4" s="427" t="s">
        <v>453</v>
      </c>
      <c r="J4" s="427"/>
      <c r="K4" s="397" t="s">
        <v>476</v>
      </c>
    </row>
    <row r="5" spans="1:13" ht="20.100000000000001" customHeight="1" x14ac:dyDescent="0.2">
      <c r="A5" s="204"/>
      <c r="B5" s="422"/>
      <c r="C5" s="410" t="s">
        <v>14</v>
      </c>
      <c r="D5" s="410" t="s">
        <v>454</v>
      </c>
      <c r="E5" s="410"/>
      <c r="F5" s="410"/>
      <c r="G5" s="410"/>
      <c r="H5" s="410"/>
      <c r="I5" s="410" t="s">
        <v>477</v>
      </c>
      <c r="J5" s="410" t="s">
        <v>478</v>
      </c>
      <c r="K5" s="397"/>
    </row>
    <row r="6" spans="1:13" ht="20.100000000000001" customHeight="1" x14ac:dyDescent="0.2">
      <c r="A6" s="204"/>
      <c r="B6" s="422"/>
      <c r="C6" s="410"/>
      <c r="D6" s="410"/>
      <c r="E6" s="410"/>
      <c r="F6" s="410"/>
      <c r="G6" s="410"/>
      <c r="H6" s="410"/>
      <c r="I6" s="410"/>
      <c r="J6" s="410"/>
      <c r="K6" s="397"/>
    </row>
    <row r="7" spans="1:13" ht="20.100000000000001" customHeight="1" x14ac:dyDescent="0.2">
      <c r="A7" s="204"/>
      <c r="B7" s="422"/>
      <c r="C7" s="410" t="s">
        <v>340</v>
      </c>
      <c r="D7" s="410"/>
      <c r="E7" s="200" t="s">
        <v>455</v>
      </c>
      <c r="F7" s="410" t="s">
        <v>456</v>
      </c>
      <c r="G7" s="410"/>
      <c r="H7" s="410"/>
      <c r="I7" s="410" t="s">
        <v>455</v>
      </c>
      <c r="J7" s="410"/>
      <c r="K7" s="321" t="s">
        <v>456</v>
      </c>
    </row>
    <row r="8" spans="1:13" ht="15" customHeight="1" x14ac:dyDescent="0.2">
      <c r="A8" s="204"/>
      <c r="B8" s="316"/>
      <c r="C8" s="445" t="s">
        <v>479</v>
      </c>
      <c r="D8" s="445"/>
      <c r="E8" s="445"/>
      <c r="F8" s="445"/>
      <c r="G8" s="445"/>
      <c r="H8" s="445"/>
      <c r="I8" s="445"/>
      <c r="J8" s="445"/>
      <c r="K8" s="445"/>
    </row>
    <row r="9" spans="1:13" ht="15" customHeight="1" x14ac:dyDescent="0.2">
      <c r="A9" s="204"/>
      <c r="B9" s="319" t="s">
        <v>16</v>
      </c>
      <c r="C9" s="323">
        <v>1280</v>
      </c>
      <c r="D9" s="323">
        <v>1125</v>
      </c>
      <c r="E9" s="324">
        <v>87.9</v>
      </c>
      <c r="F9" s="323">
        <v>7075</v>
      </c>
      <c r="G9" s="323">
        <v>297031</v>
      </c>
      <c r="H9" s="323">
        <v>20634</v>
      </c>
      <c r="I9" s="324">
        <v>6.9</v>
      </c>
      <c r="J9" s="324">
        <v>9.1</v>
      </c>
      <c r="K9" s="323">
        <v>276398</v>
      </c>
    </row>
    <row r="10" spans="1:13" ht="35.25" customHeight="1" x14ac:dyDescent="0.2">
      <c r="A10" s="204"/>
      <c r="B10" s="325" t="s">
        <v>457</v>
      </c>
      <c r="C10" s="326">
        <v>21</v>
      </c>
      <c r="D10" s="326">
        <v>15</v>
      </c>
      <c r="E10" s="327">
        <v>71.400000000000006</v>
      </c>
      <c r="F10" s="326">
        <v>3</v>
      </c>
      <c r="G10" s="326">
        <v>1725</v>
      </c>
      <c r="H10" s="326">
        <v>139</v>
      </c>
      <c r="I10" s="327">
        <v>8</v>
      </c>
      <c r="J10" s="327">
        <v>8.1999999999999993</v>
      </c>
      <c r="K10" s="326">
        <v>1587</v>
      </c>
      <c r="M10" s="330"/>
    </row>
    <row r="11" spans="1:13" ht="15" customHeight="1" x14ac:dyDescent="0.2">
      <c r="A11" s="204"/>
      <c r="B11" s="340"/>
      <c r="C11" s="323"/>
      <c r="D11" s="341"/>
      <c r="E11" s="342"/>
      <c r="F11" s="341"/>
      <c r="G11" s="341"/>
      <c r="H11" s="341"/>
      <c r="I11" s="342"/>
      <c r="J11" s="342"/>
      <c r="K11" s="341"/>
    </row>
    <row r="12" spans="1:13" ht="15" customHeight="1" x14ac:dyDescent="0.2">
      <c r="A12" s="204"/>
      <c r="B12" s="319" t="s">
        <v>447</v>
      </c>
      <c r="C12" s="323">
        <v>262</v>
      </c>
      <c r="D12" s="323">
        <v>233</v>
      </c>
      <c r="E12" s="324">
        <v>88.9</v>
      </c>
      <c r="F12" s="323">
        <v>717</v>
      </c>
      <c r="G12" s="323">
        <v>69145</v>
      </c>
      <c r="H12" s="323">
        <v>6693</v>
      </c>
      <c r="I12" s="324">
        <v>9.6999999999999993</v>
      </c>
      <c r="J12" s="324">
        <v>10.6</v>
      </c>
      <c r="K12" s="323">
        <v>62452</v>
      </c>
    </row>
    <row r="13" spans="1:13" ht="15" customHeight="1" x14ac:dyDescent="0.2">
      <c r="A13" s="204"/>
      <c r="B13" s="250" t="s">
        <v>397</v>
      </c>
      <c r="C13" s="326">
        <v>43</v>
      </c>
      <c r="D13" s="326">
        <v>37</v>
      </c>
      <c r="E13" s="327">
        <v>86</v>
      </c>
      <c r="F13" s="326">
        <v>232</v>
      </c>
      <c r="G13" s="326">
        <v>27909</v>
      </c>
      <c r="H13" s="326">
        <v>772</v>
      </c>
      <c r="I13" s="327">
        <v>2.8</v>
      </c>
      <c r="J13" s="327">
        <v>3.6</v>
      </c>
      <c r="K13" s="326">
        <v>27137</v>
      </c>
    </row>
    <row r="14" spans="1:13" ht="15" customHeight="1" x14ac:dyDescent="0.2">
      <c r="B14" s="250" t="s">
        <v>398</v>
      </c>
      <c r="C14" s="326">
        <v>84</v>
      </c>
      <c r="D14" s="326">
        <v>76</v>
      </c>
      <c r="E14" s="327">
        <v>90.5</v>
      </c>
      <c r="F14" s="326">
        <v>339</v>
      </c>
      <c r="G14" s="326">
        <v>20645</v>
      </c>
      <c r="H14" s="326">
        <v>1122</v>
      </c>
      <c r="I14" s="327">
        <v>5.4</v>
      </c>
      <c r="J14" s="327">
        <v>7</v>
      </c>
      <c r="K14" s="326">
        <v>19523</v>
      </c>
    </row>
    <row r="15" spans="1:13" ht="15" customHeight="1" x14ac:dyDescent="0.2">
      <c r="B15" s="250" t="s">
        <v>399</v>
      </c>
      <c r="C15" s="326">
        <v>102</v>
      </c>
      <c r="D15" s="326">
        <v>89</v>
      </c>
      <c r="E15" s="327">
        <v>87.3</v>
      </c>
      <c r="F15" s="326">
        <v>120</v>
      </c>
      <c r="G15" s="326">
        <v>16156</v>
      </c>
      <c r="H15" s="326">
        <v>4475</v>
      </c>
      <c r="I15" s="327">
        <v>27.7</v>
      </c>
      <c r="J15" s="327">
        <v>28.2</v>
      </c>
      <c r="K15" s="326">
        <v>11682</v>
      </c>
    </row>
    <row r="16" spans="1:13" ht="15" customHeight="1" x14ac:dyDescent="0.2">
      <c r="B16" s="250" t="s">
        <v>400</v>
      </c>
      <c r="C16" s="326">
        <v>33</v>
      </c>
      <c r="D16" s="326">
        <v>31</v>
      </c>
      <c r="E16" s="327">
        <v>93.9</v>
      </c>
      <c r="F16" s="326">
        <v>27</v>
      </c>
      <c r="G16" s="326">
        <v>4434</v>
      </c>
      <c r="H16" s="326">
        <v>324</v>
      </c>
      <c r="I16" s="327">
        <v>7.3</v>
      </c>
      <c r="J16" s="327">
        <v>7.9</v>
      </c>
      <c r="K16" s="326">
        <v>4110</v>
      </c>
    </row>
    <row r="17" spans="2:11" ht="15" customHeight="1" x14ac:dyDescent="0.2">
      <c r="B17" s="340"/>
      <c r="C17" s="323"/>
      <c r="D17" s="341"/>
      <c r="E17" s="342"/>
      <c r="F17" s="341"/>
      <c r="G17" s="341"/>
      <c r="H17" s="341"/>
      <c r="I17" s="342"/>
      <c r="J17" s="342"/>
      <c r="K17" s="341"/>
    </row>
    <row r="18" spans="2:11" ht="15" customHeight="1" x14ac:dyDescent="0.2">
      <c r="B18" s="319" t="s">
        <v>448</v>
      </c>
      <c r="C18" s="323">
        <v>997</v>
      </c>
      <c r="D18" s="323">
        <v>877</v>
      </c>
      <c r="E18" s="324">
        <v>88</v>
      </c>
      <c r="F18" s="323">
        <v>6355</v>
      </c>
      <c r="G18" s="323">
        <v>226161</v>
      </c>
      <c r="H18" s="323">
        <v>13802</v>
      </c>
      <c r="I18" s="324">
        <v>6.1</v>
      </c>
      <c r="J18" s="324">
        <v>8.6999999999999993</v>
      </c>
      <c r="K18" s="323">
        <v>212359</v>
      </c>
    </row>
    <row r="19" spans="2:11" ht="15" customHeight="1" x14ac:dyDescent="0.2">
      <c r="B19" s="250" t="s">
        <v>401</v>
      </c>
      <c r="C19" s="326">
        <v>60</v>
      </c>
      <c r="D19" s="326">
        <v>54</v>
      </c>
      <c r="E19" s="327">
        <v>90</v>
      </c>
      <c r="F19" s="326">
        <v>190</v>
      </c>
      <c r="G19" s="326">
        <v>7721</v>
      </c>
      <c r="H19" s="326">
        <v>1657</v>
      </c>
      <c r="I19" s="327">
        <v>21.5</v>
      </c>
      <c r="J19" s="327">
        <v>23.3</v>
      </c>
      <c r="K19" s="326">
        <v>6064</v>
      </c>
    </row>
    <row r="20" spans="2:11" ht="15" customHeight="1" x14ac:dyDescent="0.2">
      <c r="B20" s="250" t="s">
        <v>402</v>
      </c>
      <c r="C20" s="326">
        <v>58</v>
      </c>
      <c r="D20" s="326">
        <v>50</v>
      </c>
      <c r="E20" s="327">
        <v>86.2</v>
      </c>
      <c r="F20" s="326">
        <v>196</v>
      </c>
      <c r="G20" s="326">
        <v>7876</v>
      </c>
      <c r="H20" s="326">
        <v>494</v>
      </c>
      <c r="I20" s="327">
        <v>6.3</v>
      </c>
      <c r="J20" s="327">
        <v>8.6</v>
      </c>
      <c r="K20" s="326">
        <v>7381</v>
      </c>
    </row>
    <row r="21" spans="2:11" ht="15" customHeight="1" x14ac:dyDescent="0.2">
      <c r="B21" s="250" t="s">
        <v>403</v>
      </c>
      <c r="C21" s="326">
        <v>89</v>
      </c>
      <c r="D21" s="326">
        <v>63</v>
      </c>
      <c r="E21" s="327">
        <v>70.8</v>
      </c>
      <c r="F21" s="326">
        <v>1133</v>
      </c>
      <c r="G21" s="326">
        <v>64986</v>
      </c>
      <c r="H21" s="326">
        <v>583</v>
      </c>
      <c r="I21" s="327">
        <v>0.9</v>
      </c>
      <c r="J21" s="327">
        <v>2.6</v>
      </c>
      <c r="K21" s="326">
        <v>64403</v>
      </c>
    </row>
    <row r="22" spans="2:11" ht="15" customHeight="1" x14ac:dyDescent="0.2">
      <c r="B22" s="250" t="s">
        <v>404</v>
      </c>
      <c r="C22" s="326">
        <v>81</v>
      </c>
      <c r="D22" s="326">
        <v>77</v>
      </c>
      <c r="E22" s="327">
        <v>95.1</v>
      </c>
      <c r="F22" s="326">
        <v>135</v>
      </c>
      <c r="G22" s="326">
        <v>18570</v>
      </c>
      <c r="H22" s="326">
        <v>1183</v>
      </c>
      <c r="I22" s="327">
        <v>6.4</v>
      </c>
      <c r="J22" s="327">
        <v>7</v>
      </c>
      <c r="K22" s="326">
        <v>17388</v>
      </c>
    </row>
    <row r="23" spans="2:11" ht="15" customHeight="1" x14ac:dyDescent="0.2">
      <c r="B23" s="250" t="s">
        <v>405</v>
      </c>
      <c r="C23" s="326">
        <v>118</v>
      </c>
      <c r="D23" s="326">
        <v>107</v>
      </c>
      <c r="E23" s="327">
        <v>90.7</v>
      </c>
      <c r="F23" s="326">
        <v>407</v>
      </c>
      <c r="G23" s="326">
        <v>23516</v>
      </c>
      <c r="H23" s="326">
        <v>1058</v>
      </c>
      <c r="I23" s="327">
        <v>4.5</v>
      </c>
      <c r="J23" s="327">
        <v>6.1</v>
      </c>
      <c r="K23" s="326">
        <v>22458</v>
      </c>
    </row>
    <row r="24" spans="2:11" ht="15" customHeight="1" x14ac:dyDescent="0.2">
      <c r="B24" s="250" t="s">
        <v>406</v>
      </c>
      <c r="C24" s="326">
        <v>63</v>
      </c>
      <c r="D24" s="326">
        <v>60</v>
      </c>
      <c r="E24" s="327">
        <v>95.2</v>
      </c>
      <c r="F24" s="326">
        <v>42</v>
      </c>
      <c r="G24" s="326">
        <v>9352</v>
      </c>
      <c r="H24" s="326">
        <v>340</v>
      </c>
      <c r="I24" s="327">
        <v>3.6</v>
      </c>
      <c r="J24" s="327">
        <v>4.0999999999999996</v>
      </c>
      <c r="K24" s="326">
        <v>9012</v>
      </c>
    </row>
    <row r="25" spans="2:11" ht="15" customHeight="1" x14ac:dyDescent="0.2">
      <c r="B25" s="250" t="s">
        <v>407</v>
      </c>
      <c r="C25" s="326">
        <v>111</v>
      </c>
      <c r="D25" s="326">
        <v>102</v>
      </c>
      <c r="E25" s="327">
        <v>91.9</v>
      </c>
      <c r="F25" s="326">
        <v>2489</v>
      </c>
      <c r="G25" s="326">
        <v>19320</v>
      </c>
      <c r="H25" s="326">
        <v>1281</v>
      </c>
      <c r="I25" s="327">
        <v>6.6</v>
      </c>
      <c r="J25" s="327">
        <v>17.3</v>
      </c>
      <c r="K25" s="326">
        <v>18039</v>
      </c>
    </row>
    <row r="26" spans="2:11" ht="15" customHeight="1" x14ac:dyDescent="0.2">
      <c r="B26" s="250" t="s">
        <v>408</v>
      </c>
      <c r="C26" s="326">
        <v>88</v>
      </c>
      <c r="D26" s="326">
        <v>78</v>
      </c>
      <c r="E26" s="327">
        <v>88.6</v>
      </c>
      <c r="F26" s="326">
        <v>100</v>
      </c>
      <c r="G26" s="326">
        <v>11715</v>
      </c>
      <c r="H26" s="326">
        <v>766</v>
      </c>
      <c r="I26" s="327">
        <v>6.5</v>
      </c>
      <c r="J26" s="327">
        <v>7.3</v>
      </c>
      <c r="K26" s="326">
        <v>10949</v>
      </c>
    </row>
    <row r="27" spans="2:11" ht="15" customHeight="1" x14ac:dyDescent="0.2">
      <c r="B27" s="250" t="s">
        <v>409</v>
      </c>
      <c r="C27" s="326">
        <v>120</v>
      </c>
      <c r="D27" s="326">
        <v>105</v>
      </c>
      <c r="E27" s="327">
        <v>87.5</v>
      </c>
      <c r="F27" s="326">
        <v>719</v>
      </c>
      <c r="G27" s="326">
        <v>28124</v>
      </c>
      <c r="H27" s="326">
        <v>3601</v>
      </c>
      <c r="I27" s="327">
        <v>12.8</v>
      </c>
      <c r="J27" s="327">
        <v>15</v>
      </c>
      <c r="K27" s="326">
        <v>24523</v>
      </c>
    </row>
    <row r="28" spans="2:11" ht="15" customHeight="1" x14ac:dyDescent="0.2">
      <c r="B28" s="250" t="s">
        <v>410</v>
      </c>
      <c r="C28" s="326">
        <v>67</v>
      </c>
      <c r="D28" s="326">
        <v>61</v>
      </c>
      <c r="E28" s="327">
        <v>91</v>
      </c>
      <c r="F28" s="326">
        <v>23</v>
      </c>
      <c r="G28" s="326">
        <v>15542</v>
      </c>
      <c r="H28" s="326">
        <v>2069</v>
      </c>
      <c r="I28" s="327">
        <v>13.3</v>
      </c>
      <c r="J28" s="327">
        <v>13.4</v>
      </c>
      <c r="K28" s="326">
        <v>13473</v>
      </c>
    </row>
    <row r="29" spans="2:11" ht="15" customHeight="1" x14ac:dyDescent="0.2">
      <c r="B29" s="250" t="s">
        <v>411</v>
      </c>
      <c r="C29" s="326">
        <v>142</v>
      </c>
      <c r="D29" s="326">
        <v>120</v>
      </c>
      <c r="E29" s="327">
        <v>84.5</v>
      </c>
      <c r="F29" s="326">
        <v>920</v>
      </c>
      <c r="G29" s="326">
        <v>19439</v>
      </c>
      <c r="H29" s="326">
        <v>770</v>
      </c>
      <c r="I29" s="327">
        <v>4</v>
      </c>
      <c r="J29" s="327">
        <v>8.3000000000000007</v>
      </c>
      <c r="K29" s="326">
        <v>18669</v>
      </c>
    </row>
    <row r="30" spans="2:11" ht="15" customHeight="1" x14ac:dyDescent="0.2">
      <c r="B30" s="319"/>
      <c r="C30" s="445" t="s">
        <v>480</v>
      </c>
      <c r="D30" s="445"/>
      <c r="E30" s="445"/>
      <c r="F30" s="445"/>
      <c r="G30" s="445"/>
      <c r="H30" s="445"/>
      <c r="I30" s="445"/>
      <c r="J30" s="445"/>
      <c r="K30" s="445"/>
    </row>
    <row r="31" spans="2:11" ht="15" customHeight="1" x14ac:dyDescent="0.2">
      <c r="B31" s="319" t="s">
        <v>16</v>
      </c>
      <c r="C31" s="323">
        <v>797</v>
      </c>
      <c r="D31" s="323">
        <v>657</v>
      </c>
      <c r="E31" s="324">
        <v>82.4</v>
      </c>
      <c r="F31" s="323">
        <v>3959</v>
      </c>
      <c r="G31" s="323">
        <v>225342</v>
      </c>
      <c r="H31" s="323">
        <v>17590</v>
      </c>
      <c r="I31" s="324">
        <v>7.8</v>
      </c>
      <c r="J31" s="324">
        <v>9.4</v>
      </c>
      <c r="K31" s="323">
        <v>207751</v>
      </c>
    </row>
    <row r="32" spans="2:11" ht="33.75" customHeight="1" x14ac:dyDescent="0.2">
      <c r="B32" s="325" t="s">
        <v>457</v>
      </c>
      <c r="C32" s="326">
        <v>14</v>
      </c>
      <c r="D32" s="326">
        <v>9</v>
      </c>
      <c r="E32" s="327">
        <v>64.3</v>
      </c>
      <c r="F32" s="328" t="s">
        <v>64</v>
      </c>
      <c r="G32" s="328" t="s">
        <v>64</v>
      </c>
      <c r="H32" s="328" t="s">
        <v>64</v>
      </c>
      <c r="I32" s="327">
        <v>12.2</v>
      </c>
      <c r="J32" s="327">
        <v>12.5</v>
      </c>
      <c r="K32" s="328" t="s">
        <v>64</v>
      </c>
    </row>
    <row r="33" spans="2:11" ht="15" customHeight="1" x14ac:dyDescent="0.2">
      <c r="B33" s="340"/>
      <c r="C33" s="323"/>
      <c r="D33" s="341"/>
      <c r="E33" s="342"/>
      <c r="F33" s="341"/>
      <c r="G33" s="341"/>
      <c r="H33" s="341"/>
      <c r="I33" s="342"/>
      <c r="J33" s="342"/>
      <c r="K33" s="341"/>
    </row>
    <row r="34" spans="2:11" ht="15" customHeight="1" x14ac:dyDescent="0.2">
      <c r="B34" s="319" t="s">
        <v>447</v>
      </c>
      <c r="C34" s="323">
        <v>152</v>
      </c>
      <c r="D34" s="323">
        <v>127</v>
      </c>
      <c r="E34" s="324">
        <v>83.6</v>
      </c>
      <c r="F34" s="328" t="s">
        <v>64</v>
      </c>
      <c r="G34" s="328" t="s">
        <v>64</v>
      </c>
      <c r="H34" s="328" t="s">
        <v>64</v>
      </c>
      <c r="I34" s="324">
        <v>9.5</v>
      </c>
      <c r="J34" s="324">
        <v>10.4</v>
      </c>
      <c r="K34" s="328" t="s">
        <v>64</v>
      </c>
    </row>
    <row r="35" spans="2:11" ht="15" customHeight="1" x14ac:dyDescent="0.2">
      <c r="B35" s="250" t="s">
        <v>397</v>
      </c>
      <c r="C35" s="326">
        <v>25</v>
      </c>
      <c r="D35" s="326">
        <v>20</v>
      </c>
      <c r="E35" s="327">
        <v>80</v>
      </c>
      <c r="F35" s="328" t="s">
        <v>64</v>
      </c>
      <c r="G35" s="328" t="s">
        <v>64</v>
      </c>
      <c r="H35" s="328" t="s">
        <v>64</v>
      </c>
      <c r="I35" s="327">
        <v>0.3</v>
      </c>
      <c r="J35" s="327">
        <v>1.2</v>
      </c>
      <c r="K35" s="328" t="s">
        <v>64</v>
      </c>
    </row>
    <row r="36" spans="2:11" ht="15" customHeight="1" x14ac:dyDescent="0.2">
      <c r="B36" s="250" t="s">
        <v>398</v>
      </c>
      <c r="C36" s="326">
        <v>44</v>
      </c>
      <c r="D36" s="326">
        <v>37</v>
      </c>
      <c r="E36" s="327">
        <v>84.1</v>
      </c>
      <c r="F36" s="326">
        <v>327</v>
      </c>
      <c r="G36" s="326">
        <v>18315</v>
      </c>
      <c r="H36" s="326">
        <v>1057</v>
      </c>
      <c r="I36" s="327">
        <v>5.8</v>
      </c>
      <c r="J36" s="327">
        <v>7.4</v>
      </c>
      <c r="K36" s="326">
        <v>17258</v>
      </c>
    </row>
    <row r="37" spans="2:11" ht="15" customHeight="1" x14ac:dyDescent="0.2">
      <c r="B37" s="250" t="s">
        <v>399</v>
      </c>
      <c r="C37" s="326">
        <v>67</v>
      </c>
      <c r="D37" s="326">
        <v>56</v>
      </c>
      <c r="E37" s="327">
        <v>83.6</v>
      </c>
      <c r="F37" s="326">
        <v>26</v>
      </c>
      <c r="G37" s="326">
        <v>13838</v>
      </c>
      <c r="H37" s="326">
        <v>4404</v>
      </c>
      <c r="I37" s="327">
        <v>31.8</v>
      </c>
      <c r="J37" s="327">
        <v>32</v>
      </c>
      <c r="K37" s="326">
        <v>9434</v>
      </c>
    </row>
    <row r="38" spans="2:11" ht="15" customHeight="1" x14ac:dyDescent="0.2">
      <c r="B38" s="250" t="s">
        <v>400</v>
      </c>
      <c r="C38" s="326">
        <v>16</v>
      </c>
      <c r="D38" s="326">
        <v>14</v>
      </c>
      <c r="E38" s="327">
        <v>87.5</v>
      </c>
      <c r="F38" s="328" t="s">
        <v>64</v>
      </c>
      <c r="G38" s="328" t="s">
        <v>64</v>
      </c>
      <c r="H38" s="328" t="s">
        <v>64</v>
      </c>
      <c r="I38" s="327">
        <v>7.4</v>
      </c>
      <c r="J38" s="327">
        <v>8.1</v>
      </c>
      <c r="K38" s="328" t="s">
        <v>64</v>
      </c>
    </row>
    <row r="39" spans="2:11" ht="15" customHeight="1" x14ac:dyDescent="0.2">
      <c r="B39" s="340"/>
      <c r="C39" s="323"/>
      <c r="D39" s="341"/>
      <c r="E39" s="342"/>
      <c r="F39" s="341"/>
      <c r="G39" s="341"/>
      <c r="H39" s="341"/>
      <c r="I39" s="342"/>
      <c r="J39" s="342"/>
      <c r="K39" s="341"/>
    </row>
    <row r="40" spans="2:11" ht="15" customHeight="1" x14ac:dyDescent="0.2">
      <c r="B40" s="319" t="s">
        <v>448</v>
      </c>
      <c r="C40" s="323">
        <v>631</v>
      </c>
      <c r="D40" s="323">
        <v>521</v>
      </c>
      <c r="E40" s="324">
        <v>82.6</v>
      </c>
      <c r="F40" s="323">
        <v>3346</v>
      </c>
      <c r="G40" s="323">
        <v>163894</v>
      </c>
      <c r="H40" s="323">
        <v>11703</v>
      </c>
      <c r="I40" s="324">
        <v>7.1</v>
      </c>
      <c r="J40" s="324">
        <v>9</v>
      </c>
      <c r="K40" s="323">
        <v>152191</v>
      </c>
    </row>
    <row r="41" spans="2:11" ht="15" customHeight="1" x14ac:dyDescent="0.2">
      <c r="B41" s="250" t="s">
        <v>401</v>
      </c>
      <c r="C41" s="326">
        <v>31</v>
      </c>
      <c r="D41" s="326">
        <v>26</v>
      </c>
      <c r="E41" s="327">
        <v>83.9</v>
      </c>
      <c r="F41" s="326">
        <v>171</v>
      </c>
      <c r="G41" s="326">
        <v>5064</v>
      </c>
      <c r="H41" s="326">
        <v>1633</v>
      </c>
      <c r="I41" s="327">
        <v>32.299999999999997</v>
      </c>
      <c r="J41" s="327">
        <v>34.5</v>
      </c>
      <c r="K41" s="326">
        <v>3431</v>
      </c>
    </row>
    <row r="42" spans="2:11" ht="15" customHeight="1" x14ac:dyDescent="0.2">
      <c r="B42" s="250" t="s">
        <v>402</v>
      </c>
      <c r="C42" s="326">
        <v>29</v>
      </c>
      <c r="D42" s="326">
        <v>22</v>
      </c>
      <c r="E42" s="327">
        <v>75.900000000000006</v>
      </c>
      <c r="F42" s="328" t="s">
        <v>64</v>
      </c>
      <c r="G42" s="328" t="s">
        <v>64</v>
      </c>
      <c r="H42" s="328" t="s">
        <v>64</v>
      </c>
      <c r="I42" s="327">
        <v>2.1</v>
      </c>
      <c r="J42" s="327">
        <v>2.1</v>
      </c>
      <c r="K42" s="328" t="s">
        <v>64</v>
      </c>
    </row>
    <row r="43" spans="2:11" ht="15" customHeight="1" x14ac:dyDescent="0.2">
      <c r="B43" s="250" t="s">
        <v>403</v>
      </c>
      <c r="C43" s="326">
        <v>66</v>
      </c>
      <c r="D43" s="326">
        <v>43</v>
      </c>
      <c r="E43" s="327">
        <v>65.2</v>
      </c>
      <c r="F43" s="326">
        <v>1129</v>
      </c>
      <c r="G43" s="326">
        <v>57028</v>
      </c>
      <c r="H43" s="326">
        <v>506</v>
      </c>
      <c r="I43" s="327">
        <v>0.9</v>
      </c>
      <c r="J43" s="327">
        <v>2.8</v>
      </c>
      <c r="K43" s="326">
        <v>56522</v>
      </c>
    </row>
    <row r="44" spans="2:11" ht="15" customHeight="1" x14ac:dyDescent="0.2">
      <c r="B44" s="250" t="s">
        <v>404</v>
      </c>
      <c r="C44" s="326">
        <v>48</v>
      </c>
      <c r="D44" s="326">
        <v>44</v>
      </c>
      <c r="E44" s="327">
        <v>91.7</v>
      </c>
      <c r="F44" s="326">
        <v>98</v>
      </c>
      <c r="G44" s="326">
        <v>9916</v>
      </c>
      <c r="H44" s="326">
        <v>897</v>
      </c>
      <c r="I44" s="327">
        <v>9</v>
      </c>
      <c r="J44" s="327">
        <v>9.9</v>
      </c>
      <c r="K44" s="326">
        <v>9019</v>
      </c>
    </row>
    <row r="45" spans="2:11" ht="15" customHeight="1" x14ac:dyDescent="0.2">
      <c r="B45" s="250" t="s">
        <v>405</v>
      </c>
      <c r="C45" s="326">
        <v>79</v>
      </c>
      <c r="D45" s="326">
        <v>70</v>
      </c>
      <c r="E45" s="327">
        <v>88.6</v>
      </c>
      <c r="F45" s="326">
        <v>333</v>
      </c>
      <c r="G45" s="326">
        <v>18103</v>
      </c>
      <c r="H45" s="326">
        <v>800</v>
      </c>
      <c r="I45" s="327">
        <v>4.4000000000000004</v>
      </c>
      <c r="J45" s="327">
        <v>6.1</v>
      </c>
      <c r="K45" s="326">
        <v>17304</v>
      </c>
    </row>
    <row r="46" spans="2:11" ht="15" customHeight="1" x14ac:dyDescent="0.2">
      <c r="B46" s="250" t="s">
        <v>406</v>
      </c>
      <c r="C46" s="326">
        <v>40</v>
      </c>
      <c r="D46" s="326">
        <v>37</v>
      </c>
      <c r="E46" s="327">
        <v>92.5</v>
      </c>
      <c r="F46" s="328" t="s">
        <v>64</v>
      </c>
      <c r="G46" s="328" t="s">
        <v>64</v>
      </c>
      <c r="H46" s="328" t="s">
        <v>64</v>
      </c>
      <c r="I46" s="327">
        <v>3.1</v>
      </c>
      <c r="J46" s="327">
        <v>3.7</v>
      </c>
      <c r="K46" s="328" t="s">
        <v>64</v>
      </c>
    </row>
    <row r="47" spans="2:11" ht="15" customHeight="1" x14ac:dyDescent="0.2">
      <c r="B47" s="250" t="s">
        <v>407</v>
      </c>
      <c r="C47" s="326">
        <v>73</v>
      </c>
      <c r="D47" s="326">
        <v>64</v>
      </c>
      <c r="E47" s="327">
        <v>87.7</v>
      </c>
      <c r="F47" s="326">
        <v>592</v>
      </c>
      <c r="G47" s="326">
        <v>13429</v>
      </c>
      <c r="H47" s="326">
        <v>1088</v>
      </c>
      <c r="I47" s="327">
        <v>8.1</v>
      </c>
      <c r="J47" s="327">
        <v>12</v>
      </c>
      <c r="K47" s="326">
        <v>12341</v>
      </c>
    </row>
    <row r="48" spans="2:11" ht="15" customHeight="1" x14ac:dyDescent="0.2">
      <c r="B48" s="250" t="s">
        <v>408</v>
      </c>
      <c r="C48" s="326">
        <v>63</v>
      </c>
      <c r="D48" s="326">
        <v>54</v>
      </c>
      <c r="E48" s="327">
        <v>85.7</v>
      </c>
      <c r="F48" s="326">
        <v>84</v>
      </c>
      <c r="G48" s="326">
        <v>10015</v>
      </c>
      <c r="H48" s="326">
        <v>694</v>
      </c>
      <c r="I48" s="327">
        <v>6.9</v>
      </c>
      <c r="J48" s="327">
        <v>7.7</v>
      </c>
      <c r="K48" s="326">
        <v>9321</v>
      </c>
    </row>
    <row r="49" spans="2:11" ht="15" customHeight="1" x14ac:dyDescent="0.2">
      <c r="B49" s="250" t="s">
        <v>409</v>
      </c>
      <c r="C49" s="326">
        <v>60</v>
      </c>
      <c r="D49" s="326">
        <v>45</v>
      </c>
      <c r="E49" s="327">
        <v>75</v>
      </c>
      <c r="F49" s="326">
        <v>277</v>
      </c>
      <c r="G49" s="326">
        <v>14345</v>
      </c>
      <c r="H49" s="326">
        <v>3274</v>
      </c>
      <c r="I49" s="327">
        <v>22.8</v>
      </c>
      <c r="J49" s="327">
        <v>24.3</v>
      </c>
      <c r="K49" s="326">
        <v>11072</v>
      </c>
    </row>
    <row r="50" spans="2:11" ht="15" customHeight="1" x14ac:dyDescent="0.2">
      <c r="B50" s="250" t="s">
        <v>410</v>
      </c>
      <c r="C50" s="326">
        <v>49</v>
      </c>
      <c r="D50" s="326">
        <v>43</v>
      </c>
      <c r="E50" s="327">
        <v>87.8</v>
      </c>
      <c r="F50" s="328" t="s">
        <v>64</v>
      </c>
      <c r="G50" s="328" t="s">
        <v>64</v>
      </c>
      <c r="H50" s="328" t="s">
        <v>64</v>
      </c>
      <c r="I50" s="327">
        <v>15.5</v>
      </c>
      <c r="J50" s="327">
        <v>15.6</v>
      </c>
      <c r="K50" s="328" t="s">
        <v>64</v>
      </c>
    </row>
    <row r="51" spans="2:11" ht="15" customHeight="1" x14ac:dyDescent="0.2">
      <c r="B51" s="251" t="s">
        <v>411</v>
      </c>
      <c r="C51" s="332">
        <v>93</v>
      </c>
      <c r="D51" s="332">
        <v>73</v>
      </c>
      <c r="E51" s="333">
        <v>78.5</v>
      </c>
      <c r="F51" s="332">
        <v>596</v>
      </c>
      <c r="G51" s="332">
        <v>12906</v>
      </c>
      <c r="H51" s="332">
        <v>480</v>
      </c>
      <c r="I51" s="333">
        <v>3.7</v>
      </c>
      <c r="J51" s="333">
        <v>8</v>
      </c>
      <c r="K51" s="332">
        <v>12425</v>
      </c>
    </row>
    <row r="52" spans="2:11" x14ac:dyDescent="0.2">
      <c r="B52" s="335"/>
      <c r="C52" s="343"/>
      <c r="D52" s="343"/>
      <c r="E52" s="338"/>
      <c r="F52" s="344"/>
      <c r="G52" s="345"/>
      <c r="H52" s="344"/>
      <c r="I52" s="346"/>
      <c r="J52" s="346"/>
      <c r="K52" s="345"/>
    </row>
    <row r="53" spans="2:11" ht="12.6" customHeight="1" x14ac:dyDescent="0.2">
      <c r="B53" s="446" t="s">
        <v>481</v>
      </c>
      <c r="C53" s="446"/>
      <c r="D53" s="446"/>
      <c r="E53" s="446"/>
      <c r="F53" s="446"/>
      <c r="G53" s="446"/>
      <c r="H53" s="446"/>
      <c r="I53" s="446"/>
      <c r="J53" s="446"/>
      <c r="K53" s="446"/>
    </row>
    <row r="54" spans="2:11" ht="25.5" customHeight="1" x14ac:dyDescent="0.2">
      <c r="B54" s="446" t="s">
        <v>482</v>
      </c>
      <c r="C54" s="446"/>
      <c r="D54" s="446"/>
      <c r="E54" s="446"/>
      <c r="F54" s="446"/>
      <c r="G54" s="446"/>
      <c r="H54" s="446"/>
      <c r="I54" s="446"/>
      <c r="J54" s="446"/>
      <c r="K54" s="446"/>
    </row>
    <row r="55" spans="2:11" ht="12.6" customHeight="1" x14ac:dyDescent="0.2">
      <c r="B55" s="447" t="s">
        <v>483</v>
      </c>
      <c r="C55" s="447"/>
      <c r="D55" s="447"/>
      <c r="E55" s="447"/>
      <c r="F55" s="447"/>
      <c r="G55" s="447"/>
      <c r="H55" s="447"/>
      <c r="I55" s="447"/>
      <c r="J55" s="447"/>
      <c r="K55" s="447"/>
    </row>
    <row r="56" spans="2:11" ht="12.6" customHeight="1" x14ac:dyDescent="0.2">
      <c r="B56" s="447" t="s">
        <v>484</v>
      </c>
      <c r="C56" s="447"/>
      <c r="D56" s="447"/>
      <c r="E56" s="447"/>
      <c r="F56" s="447"/>
      <c r="G56" s="447"/>
      <c r="H56" s="447"/>
      <c r="I56" s="447"/>
      <c r="J56" s="447"/>
      <c r="K56" s="447"/>
    </row>
    <row r="57" spans="2:11" x14ac:dyDescent="0.2">
      <c r="B57" s="347"/>
      <c r="C57" s="99"/>
      <c r="D57" s="99"/>
      <c r="E57" s="99"/>
      <c r="F57" s="99"/>
      <c r="G57" s="99"/>
      <c r="H57" s="99"/>
      <c r="K57" s="99"/>
    </row>
    <row r="58" spans="2:11" x14ac:dyDescent="0.2">
      <c r="B58" s="348"/>
      <c r="C58" s="99"/>
      <c r="D58" s="99"/>
      <c r="E58" s="99"/>
      <c r="F58" s="99"/>
      <c r="G58" s="99"/>
      <c r="H58" s="99"/>
      <c r="K58" s="99"/>
    </row>
    <row r="60" spans="2:11" x14ac:dyDescent="0.2">
      <c r="K60" s="107" t="s">
        <v>177</v>
      </c>
    </row>
  </sheetData>
  <mergeCells count="21">
    <mergeCell ref="C8:K8"/>
    <mergeCell ref="B3:K3"/>
    <mergeCell ref="B4:B7"/>
    <mergeCell ref="C4:E4"/>
    <mergeCell ref="F4:F6"/>
    <mergeCell ref="G4:G6"/>
    <mergeCell ref="H4:H6"/>
    <mergeCell ref="I4:J4"/>
    <mergeCell ref="K4:K6"/>
    <mergeCell ref="C5:C6"/>
    <mergeCell ref="D5:E6"/>
    <mergeCell ref="I5:I6"/>
    <mergeCell ref="J5:J6"/>
    <mergeCell ref="C7:D7"/>
    <mergeCell ref="F7:H7"/>
    <mergeCell ref="I7:J7"/>
    <mergeCell ref="C30:K30"/>
    <mergeCell ref="B53:K53"/>
    <mergeCell ref="B54:K54"/>
    <mergeCell ref="B55:K55"/>
    <mergeCell ref="B56:K56"/>
  </mergeCells>
  <hyperlinks>
    <hyperlink ref="K60" location="Inhaltsverzeichnis!A1" display="› Zurück zum Inhaltsverzeichnis" xr:uid="{9D8BC404-51F6-4E16-A88B-FB4C5B2DE6B8}"/>
  </hyperlinks>
  <pageMargins left="0.7" right="0.7" top="0.78740157499999996" bottom="0.78740157499999996"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BE520-4542-4898-B668-4873A5CE7732}">
  <dimension ref="A1:L32"/>
  <sheetViews>
    <sheetView zoomScaleNormal="100" workbookViewId="0">
      <pane ySplit="7" topLeftCell="A8" activePane="bottomLeft" state="frozen"/>
      <selection activeCell="L12" sqref="L12"/>
      <selection pane="bottomLeft" activeCell="B31" sqref="B31"/>
    </sheetView>
  </sheetViews>
  <sheetFormatPr baseColWidth="10" defaultColWidth="11.375" defaultRowHeight="11.4" x14ac:dyDescent="0.2"/>
  <cols>
    <col min="1" max="1" width="2.75" customWidth="1"/>
    <col min="2" max="2" width="21.375" customWidth="1"/>
    <col min="3" max="3" width="15.125" customWidth="1"/>
    <col min="4" max="4" width="16.25" customWidth="1"/>
    <col min="5" max="5" width="15.125" customWidth="1"/>
    <col min="6" max="6" width="18.25" customWidth="1"/>
    <col min="7" max="7" width="19" customWidth="1"/>
    <col min="8" max="8" width="18" customWidth="1"/>
    <col min="9" max="10" width="15.125" customWidth="1"/>
  </cols>
  <sheetData>
    <row r="1" spans="1:12" s="4" customFormat="1" ht="13.8" x14ac:dyDescent="0.2">
      <c r="C1" s="40"/>
      <c r="E1" s="41"/>
    </row>
    <row r="2" spans="1:12" s="203" customFormat="1" ht="20.100000000000001" customHeight="1" x14ac:dyDescent="0.25">
      <c r="A2" s="201"/>
      <c r="B2" s="202" t="s">
        <v>44</v>
      </c>
      <c r="C2" s="202"/>
      <c r="D2" s="202"/>
      <c r="E2" s="202"/>
      <c r="F2" s="202"/>
      <c r="G2" s="202"/>
    </row>
    <row r="3" spans="1:12" s="80" customFormat="1" ht="50.25" customHeight="1" x14ac:dyDescent="0.2">
      <c r="A3" s="65"/>
      <c r="B3" s="381" t="s">
        <v>485</v>
      </c>
      <c r="C3" s="381"/>
      <c r="D3" s="381"/>
      <c r="E3" s="381"/>
      <c r="F3" s="381"/>
      <c r="G3" s="381"/>
      <c r="H3" s="381"/>
      <c r="I3" s="381"/>
      <c r="J3" s="381"/>
    </row>
    <row r="4" spans="1:12" ht="17.25" customHeight="1" x14ac:dyDescent="0.2">
      <c r="A4" s="204"/>
      <c r="B4" s="422" t="s">
        <v>486</v>
      </c>
      <c r="C4" s="411" t="s">
        <v>487</v>
      </c>
      <c r="D4" s="410" t="s">
        <v>449</v>
      </c>
      <c r="E4" s="412" t="s">
        <v>488</v>
      </c>
      <c r="F4" s="412"/>
      <c r="G4" s="412"/>
      <c r="H4" s="412"/>
      <c r="I4" s="412"/>
      <c r="J4" s="448"/>
    </row>
    <row r="5" spans="1:12" ht="17.25" customHeight="1" x14ac:dyDescent="0.2">
      <c r="A5" s="204"/>
      <c r="B5" s="422"/>
      <c r="C5" s="411"/>
      <c r="D5" s="410"/>
      <c r="E5" s="411" t="s">
        <v>14</v>
      </c>
      <c r="F5" s="411" t="s">
        <v>489</v>
      </c>
      <c r="G5" s="411"/>
      <c r="H5" s="411"/>
      <c r="I5" s="411"/>
      <c r="J5" s="413"/>
    </row>
    <row r="6" spans="1:12" ht="17.25" customHeight="1" x14ac:dyDescent="0.2">
      <c r="A6" s="204"/>
      <c r="B6" s="422"/>
      <c r="C6" s="411"/>
      <c r="D6" s="410"/>
      <c r="E6" s="411"/>
      <c r="F6" s="410" t="s">
        <v>490</v>
      </c>
      <c r="G6" s="410" t="s">
        <v>491</v>
      </c>
      <c r="H6" s="411" t="s">
        <v>492</v>
      </c>
      <c r="I6" s="411"/>
      <c r="J6" s="413"/>
    </row>
    <row r="7" spans="1:12" ht="50.1" customHeight="1" x14ac:dyDescent="0.2">
      <c r="A7" s="204"/>
      <c r="B7" s="422"/>
      <c r="C7" s="411"/>
      <c r="D7" s="410"/>
      <c r="E7" s="411"/>
      <c r="F7" s="410"/>
      <c r="G7" s="410"/>
      <c r="H7" s="200" t="s">
        <v>493</v>
      </c>
      <c r="I7" s="200" t="s">
        <v>494</v>
      </c>
      <c r="J7" s="198" t="s">
        <v>495</v>
      </c>
    </row>
    <row r="8" spans="1:12" ht="24.9" customHeight="1" x14ac:dyDescent="0.2">
      <c r="A8" s="204"/>
      <c r="B8" s="335"/>
      <c r="C8" s="349"/>
      <c r="D8" s="445" t="s">
        <v>16</v>
      </c>
      <c r="E8" s="445"/>
      <c r="F8" s="445"/>
      <c r="G8" s="445"/>
      <c r="H8" s="445"/>
      <c r="I8" s="445"/>
      <c r="J8" s="445"/>
      <c r="L8" s="330"/>
    </row>
    <row r="9" spans="1:12" ht="15" customHeight="1" x14ac:dyDescent="0.25">
      <c r="A9" s="204"/>
      <c r="B9" s="219" t="s">
        <v>496</v>
      </c>
      <c r="C9" s="350" t="s">
        <v>497</v>
      </c>
      <c r="D9" s="323">
        <v>4376</v>
      </c>
      <c r="E9" s="323">
        <v>4176</v>
      </c>
      <c r="F9" s="323">
        <v>3837</v>
      </c>
      <c r="G9" s="323">
        <v>190</v>
      </c>
      <c r="H9" s="323">
        <v>139</v>
      </c>
      <c r="I9" s="323">
        <v>28</v>
      </c>
      <c r="J9" s="323">
        <v>25</v>
      </c>
    </row>
    <row r="10" spans="1:12" ht="15" customHeight="1" x14ac:dyDescent="0.2">
      <c r="A10" s="204"/>
      <c r="B10" s="335" t="s">
        <v>498</v>
      </c>
      <c r="C10" s="351" t="s">
        <v>499</v>
      </c>
      <c r="D10" s="326" t="s">
        <v>37</v>
      </c>
      <c r="E10" s="326">
        <v>252567</v>
      </c>
      <c r="F10" s="326">
        <v>232543</v>
      </c>
      <c r="G10" s="326">
        <v>7669</v>
      </c>
      <c r="H10" s="326">
        <v>2926</v>
      </c>
      <c r="I10" s="326">
        <v>2190</v>
      </c>
      <c r="J10" s="326">
        <v>2585</v>
      </c>
    </row>
    <row r="11" spans="1:12" ht="15" customHeight="1" x14ac:dyDescent="0.2">
      <c r="A11" s="204"/>
      <c r="B11" s="335" t="s">
        <v>500</v>
      </c>
      <c r="C11" s="351" t="s">
        <v>499</v>
      </c>
      <c r="D11" s="326" t="s">
        <v>37</v>
      </c>
      <c r="E11" s="326">
        <v>239352</v>
      </c>
      <c r="F11" s="326">
        <v>219591</v>
      </c>
      <c r="G11" s="326">
        <v>7532</v>
      </c>
      <c r="H11" s="326">
        <v>2925</v>
      </c>
      <c r="I11" s="326">
        <v>2167</v>
      </c>
      <c r="J11" s="326">
        <v>2479</v>
      </c>
    </row>
    <row r="12" spans="1:12" ht="24.9" customHeight="1" x14ac:dyDescent="0.2">
      <c r="A12" s="204"/>
      <c r="B12" s="335"/>
      <c r="C12" s="351"/>
      <c r="D12" s="445" t="s">
        <v>440</v>
      </c>
      <c r="E12" s="445"/>
      <c r="F12" s="445"/>
      <c r="G12" s="445"/>
      <c r="H12" s="445"/>
      <c r="I12" s="445"/>
      <c r="J12" s="445"/>
    </row>
    <row r="13" spans="1:12" ht="15" customHeight="1" x14ac:dyDescent="0.25">
      <c r="B13" s="219" t="s">
        <v>496</v>
      </c>
      <c r="C13" s="350" t="s">
        <v>497</v>
      </c>
      <c r="D13" s="323">
        <v>648</v>
      </c>
      <c r="E13" s="323">
        <v>607</v>
      </c>
      <c r="F13" s="323">
        <v>549</v>
      </c>
      <c r="G13" s="323">
        <v>25</v>
      </c>
      <c r="H13" s="323">
        <v>14</v>
      </c>
      <c r="I13" s="323">
        <v>4</v>
      </c>
      <c r="J13" s="323">
        <v>7</v>
      </c>
    </row>
    <row r="14" spans="1:12" ht="15" customHeight="1" x14ac:dyDescent="0.2">
      <c r="B14" s="335" t="s">
        <v>498</v>
      </c>
      <c r="C14" s="351" t="s">
        <v>499</v>
      </c>
      <c r="D14" s="326" t="s">
        <v>37</v>
      </c>
      <c r="E14" s="326">
        <v>72664</v>
      </c>
      <c r="F14" s="326">
        <v>64187</v>
      </c>
      <c r="G14" s="326">
        <v>3157</v>
      </c>
      <c r="H14" s="326">
        <v>726</v>
      </c>
      <c r="I14" s="326">
        <v>1737</v>
      </c>
      <c r="J14" s="328" t="s">
        <v>64</v>
      </c>
    </row>
    <row r="15" spans="1:12" ht="15" customHeight="1" x14ac:dyDescent="0.2">
      <c r="B15" s="335" t="s">
        <v>500</v>
      </c>
      <c r="C15" s="351" t="s">
        <v>499</v>
      </c>
      <c r="D15" s="326" t="s">
        <v>37</v>
      </c>
      <c r="E15" s="326">
        <v>67623</v>
      </c>
      <c r="F15" s="326">
        <v>59195</v>
      </c>
      <c r="G15" s="326">
        <v>3130</v>
      </c>
      <c r="H15" s="326">
        <v>725</v>
      </c>
      <c r="I15" s="326">
        <v>1716</v>
      </c>
      <c r="J15" s="328" t="s">
        <v>64</v>
      </c>
    </row>
    <row r="16" spans="1:12" ht="24.9" customHeight="1" x14ac:dyDescent="0.2">
      <c r="B16" s="335"/>
      <c r="C16" s="351"/>
      <c r="D16" s="445" t="s">
        <v>426</v>
      </c>
      <c r="E16" s="445"/>
      <c r="F16" s="445"/>
      <c r="G16" s="445"/>
      <c r="H16" s="445"/>
      <c r="I16" s="445"/>
      <c r="J16" s="445"/>
    </row>
    <row r="17" spans="2:10" ht="15" customHeight="1" x14ac:dyDescent="0.25">
      <c r="B17" s="219" t="s">
        <v>496</v>
      </c>
      <c r="C17" s="350" t="s">
        <v>497</v>
      </c>
      <c r="D17" s="323">
        <v>3256</v>
      </c>
      <c r="E17" s="323">
        <v>3168</v>
      </c>
      <c r="F17" s="323">
        <v>2919</v>
      </c>
      <c r="G17" s="323">
        <v>144</v>
      </c>
      <c r="H17" s="323">
        <v>113</v>
      </c>
      <c r="I17" s="323">
        <v>20</v>
      </c>
      <c r="J17" s="323">
        <v>12</v>
      </c>
    </row>
    <row r="18" spans="2:10" ht="15" customHeight="1" x14ac:dyDescent="0.2">
      <c r="B18" s="335" t="s">
        <v>498</v>
      </c>
      <c r="C18" s="351" t="s">
        <v>499</v>
      </c>
      <c r="D18" s="326" t="s">
        <v>37</v>
      </c>
      <c r="E18" s="326">
        <v>100919</v>
      </c>
      <c r="F18" s="326">
        <v>93400</v>
      </c>
      <c r="G18" s="326">
        <v>2161</v>
      </c>
      <c r="H18" s="328" t="s">
        <v>64</v>
      </c>
      <c r="I18" s="328" t="s">
        <v>64</v>
      </c>
      <c r="J18" s="328" t="s">
        <v>64</v>
      </c>
    </row>
    <row r="19" spans="2:10" ht="15" customHeight="1" x14ac:dyDescent="0.2">
      <c r="B19" s="335" t="s">
        <v>500</v>
      </c>
      <c r="C19" s="351" t="s">
        <v>499</v>
      </c>
      <c r="D19" s="326" t="s">
        <v>37</v>
      </c>
      <c r="E19" s="326">
        <v>98855</v>
      </c>
      <c r="F19" s="326">
        <v>91363</v>
      </c>
      <c r="G19" s="326">
        <v>2160</v>
      </c>
      <c r="H19" s="328" t="s">
        <v>64</v>
      </c>
      <c r="I19" s="328" t="s">
        <v>64</v>
      </c>
      <c r="J19" s="328" t="s">
        <v>64</v>
      </c>
    </row>
    <row r="20" spans="2:10" ht="24.9" customHeight="1" x14ac:dyDescent="0.2">
      <c r="B20" s="335"/>
      <c r="C20" s="351"/>
      <c r="D20" s="445" t="s">
        <v>501</v>
      </c>
      <c r="E20" s="445"/>
      <c r="F20" s="445"/>
      <c r="G20" s="445"/>
      <c r="H20" s="445"/>
      <c r="I20" s="445"/>
      <c r="J20" s="445"/>
    </row>
    <row r="21" spans="2:10" ht="15" customHeight="1" x14ac:dyDescent="0.25">
      <c r="B21" s="219" t="s">
        <v>496</v>
      </c>
      <c r="C21" s="350" t="s">
        <v>497</v>
      </c>
      <c r="D21" s="323">
        <v>472</v>
      </c>
      <c r="E21" s="323">
        <v>401</v>
      </c>
      <c r="F21" s="323">
        <v>369</v>
      </c>
      <c r="G21" s="323">
        <v>21</v>
      </c>
      <c r="H21" s="323">
        <v>12</v>
      </c>
      <c r="I21" s="323">
        <v>4</v>
      </c>
      <c r="J21" s="323">
        <v>6</v>
      </c>
    </row>
    <row r="22" spans="2:10" ht="15" customHeight="1" x14ac:dyDescent="0.2">
      <c r="B22" s="335" t="s">
        <v>498</v>
      </c>
      <c r="C22" s="351" t="s">
        <v>499</v>
      </c>
      <c r="D22" s="326" t="s">
        <v>37</v>
      </c>
      <c r="E22" s="326">
        <v>78983</v>
      </c>
      <c r="F22" s="326">
        <v>74956</v>
      </c>
      <c r="G22" s="326">
        <v>2352</v>
      </c>
      <c r="H22" s="328" t="s">
        <v>64</v>
      </c>
      <c r="I22" s="328" t="s">
        <v>64</v>
      </c>
      <c r="J22" s="326">
        <v>1616</v>
      </c>
    </row>
    <row r="23" spans="2:10" ht="15" customHeight="1" x14ac:dyDescent="0.2">
      <c r="B23" s="352" t="s">
        <v>500</v>
      </c>
      <c r="C23" s="353" t="s">
        <v>499</v>
      </c>
      <c r="D23" s="332" t="s">
        <v>37</v>
      </c>
      <c r="E23" s="332">
        <v>72874</v>
      </c>
      <c r="F23" s="332">
        <v>69033</v>
      </c>
      <c r="G23" s="332">
        <v>2242</v>
      </c>
      <c r="H23" s="334" t="s">
        <v>64</v>
      </c>
      <c r="I23" s="334" t="s">
        <v>64</v>
      </c>
      <c r="J23" s="332">
        <v>1511</v>
      </c>
    </row>
    <row r="24" spans="2:10" ht="12.75" customHeight="1" x14ac:dyDescent="0.25">
      <c r="B24" s="335"/>
      <c r="C24" s="354"/>
      <c r="D24" s="337"/>
      <c r="E24" s="343"/>
      <c r="F24" s="343"/>
      <c r="G24" s="343"/>
      <c r="H24" s="343"/>
      <c r="I24" s="355"/>
      <c r="J24" s="355"/>
    </row>
    <row r="25" spans="2:10" ht="25.5" customHeight="1" x14ac:dyDescent="0.2">
      <c r="B25" s="446" t="s">
        <v>502</v>
      </c>
      <c r="C25" s="446"/>
      <c r="D25" s="446"/>
      <c r="E25" s="446"/>
      <c r="F25" s="446"/>
      <c r="G25" s="446"/>
      <c r="H25" s="446"/>
      <c r="I25" s="446"/>
      <c r="J25" s="446"/>
    </row>
    <row r="26" spans="2:10" ht="24.9" customHeight="1" x14ac:dyDescent="0.2">
      <c r="B26" s="446" t="s">
        <v>503</v>
      </c>
      <c r="C26" s="446"/>
      <c r="D26" s="446"/>
      <c r="E26" s="446"/>
      <c r="F26" s="446"/>
      <c r="G26" s="446"/>
      <c r="H26" s="446"/>
      <c r="I26" s="446"/>
      <c r="J26" s="446"/>
    </row>
    <row r="27" spans="2:10" ht="12.75" customHeight="1" x14ac:dyDescent="0.2">
      <c r="B27" s="446" t="s">
        <v>504</v>
      </c>
      <c r="C27" s="446"/>
      <c r="D27" s="446"/>
      <c r="E27" s="446"/>
      <c r="F27" s="446"/>
      <c r="G27" s="446"/>
      <c r="H27" s="446"/>
      <c r="I27" s="446"/>
      <c r="J27" s="446"/>
    </row>
    <row r="28" spans="2:10" x14ac:dyDescent="0.2">
      <c r="B28" s="356" t="s">
        <v>505</v>
      </c>
      <c r="C28" s="99"/>
      <c r="D28" s="99"/>
      <c r="E28" s="99"/>
      <c r="F28" s="99"/>
      <c r="G28" s="99"/>
      <c r="H28" s="99"/>
      <c r="I28" s="99"/>
      <c r="J28" s="99"/>
    </row>
    <row r="29" spans="2:10" ht="12.6" customHeight="1" x14ac:dyDescent="0.2">
      <c r="B29" s="348"/>
      <c r="C29" s="99"/>
      <c r="D29" s="99"/>
      <c r="E29" s="99"/>
      <c r="F29" s="99"/>
      <c r="G29" s="99"/>
      <c r="H29" s="99"/>
      <c r="I29" s="99"/>
      <c r="J29" s="99"/>
    </row>
    <row r="30" spans="2:10" x14ac:dyDescent="0.2">
      <c r="B30" s="348"/>
      <c r="C30" s="99"/>
      <c r="D30" s="99"/>
      <c r="E30" s="99"/>
      <c r="F30" s="99"/>
      <c r="G30" s="99"/>
      <c r="H30" s="99"/>
      <c r="I30" s="99"/>
      <c r="J30" s="99"/>
    </row>
    <row r="32" spans="2:10" x14ac:dyDescent="0.2">
      <c r="J32" s="107" t="s">
        <v>177</v>
      </c>
    </row>
  </sheetData>
  <mergeCells count="17">
    <mergeCell ref="B3:J3"/>
    <mergeCell ref="B4:B7"/>
    <mergeCell ref="C4:C7"/>
    <mergeCell ref="D4:D7"/>
    <mergeCell ref="E4:J4"/>
    <mergeCell ref="E5:E7"/>
    <mergeCell ref="F5:J5"/>
    <mergeCell ref="F6:F7"/>
    <mergeCell ref="G6:G7"/>
    <mergeCell ref="H6:J6"/>
    <mergeCell ref="B27:J27"/>
    <mergeCell ref="D8:J8"/>
    <mergeCell ref="D12:J12"/>
    <mergeCell ref="D16:J16"/>
    <mergeCell ref="D20:J20"/>
    <mergeCell ref="B25:J25"/>
    <mergeCell ref="B26:J26"/>
  </mergeCells>
  <hyperlinks>
    <hyperlink ref="J32" location="Inhaltsverzeichnis!A1" display="› Zurück zum Inhaltsverzeichnis" xr:uid="{2B707E98-7601-40CF-A8A1-FACC329A9BBD}"/>
  </hyperlink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27</vt:i4>
      </vt:variant>
      <vt:variant>
        <vt:lpstr>Benannte Bereiche</vt:lpstr>
      </vt:variant>
      <vt:variant>
        <vt:i4>1</vt:i4>
      </vt:variant>
    </vt:vector>
  </HeadingPairs>
  <TitlesOfParts>
    <vt:vector size="28" baseType="lpstr">
      <vt:lpstr>Deckblatt</vt:lpstr>
      <vt:lpstr>Impressum | Zeichenerklärungen</vt:lpstr>
      <vt:lpstr>Erläuterungen</vt:lpstr>
      <vt:lpstr>Inhaltsverzeichnis</vt:lpstr>
      <vt:lpstr>12.1</vt:lpstr>
      <vt:lpstr>12.2</vt:lpstr>
      <vt:lpstr>Grafik 1</vt:lpstr>
      <vt:lpstr>Grafik 2</vt:lpstr>
      <vt:lpstr>12.3</vt:lpstr>
      <vt:lpstr>12.4</vt:lpstr>
      <vt:lpstr>12.5</vt:lpstr>
      <vt:lpstr>12.6</vt:lpstr>
      <vt:lpstr>12.7</vt:lpstr>
      <vt:lpstr>12.8</vt:lpstr>
      <vt:lpstr>12.9</vt:lpstr>
      <vt:lpstr>12.10</vt:lpstr>
      <vt:lpstr>12.11</vt:lpstr>
      <vt:lpstr>Grafik 3</vt:lpstr>
      <vt:lpstr>12.12</vt:lpstr>
      <vt:lpstr>12.13</vt:lpstr>
      <vt:lpstr>12.14</vt:lpstr>
      <vt:lpstr>Grafik 4</vt:lpstr>
      <vt:lpstr>12.15</vt:lpstr>
      <vt:lpstr>12.16</vt:lpstr>
      <vt:lpstr>12.17</vt:lpstr>
      <vt:lpstr>12.18</vt:lpstr>
      <vt:lpstr>12.19</vt:lpstr>
      <vt:lpstr>Deckblatt!OLE_LINK1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SH_Kapitel 12 - Gesamtwirtschaft</dc:title>
  <dc:creator>Statistikamt Nord</dc:creator>
  <cp:lastModifiedBy>Karnatz, Marina</cp:lastModifiedBy>
  <cp:lastPrinted>2022-12-22T13:35:01Z</cp:lastPrinted>
  <dcterms:created xsi:type="dcterms:W3CDTF">2019-02-08T11:23:11Z</dcterms:created>
  <dcterms:modified xsi:type="dcterms:W3CDTF">2026-02-19T10:40:22Z</dcterms:modified>
</cp:coreProperties>
</file>